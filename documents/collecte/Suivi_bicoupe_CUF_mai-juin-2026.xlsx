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extended-properties+xml" PartName="/docProps/app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3" Type="http://schemas.openxmlformats.org/officeDocument/2006/relationships/custom-properties" Target="docProps/custom.xml"/><Relationship Id="rId4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0-LIRE DABORD" sheetId="1" r:id="rId4"/>
    <sheet state="visible" name="1-REF" sheetId="2" r:id="rId5"/>
    <sheet state="visible" name="2-SESSIONS SCIAGE" sheetId="3" r:id="rId6"/>
    <sheet state="visible" name="3-CHANGEMENTS LAMES" sheetId="4" r:id="rId7"/>
    <sheet state="visible" name="4-BILAN PAR POSTE" sheetId="5" r:id="rId8"/>
    <sheet state="visible" name="5-TRS" sheetId="6" r:id="rId9"/>
    <sheet state="visible" name="6-PERSONNEL" sheetId="7" r:id="rId10"/>
    <sheet state="visible" name="7-BILAN JOURNÉE DU CHEF" sheetId="8" r:id="rId11"/>
    <sheet state="visible" name="8-PRODUCTION POSTE" sheetId="9" r:id="rId12"/>
    <sheet state="visible" name="9-PANNES (version chef)" sheetId="10" r:id="rId13"/>
  </sheets>
  <definedNames/>
  <calcPr/>
</workbook>
</file>

<file path=xl/sharedStrings.xml><?xml version="1.0" encoding="utf-8"?>
<sst xmlns="http://schemas.openxmlformats.org/spreadsheetml/2006/main" count="4960" uniqueCount="346">
  <si>
    <t>CLASSEUR — SESSIONS (heures) + CHANGEMENTS DE LAMES À PART + TRS</t>
  </si>
  <si>
    <t>DEUX FEUILLES DE SAISIE SÉPARÉES :</t>
  </si>
  <si>
    <t>FEUILLE 2 — SESSIONS DE SCIAGE :</t>
  </si>
  <si>
    <t>Tu écris les HEURES début et fin de chaque plage de sciage, plus l'observation.</t>
  </si>
  <si>
    <t>La durée se calcule seule (fin moins début). Chaque ligne est indépendante : changer de jour ne casse rien.</t>
  </si>
  <si>
    <t>L'observation dit ce qui s'est passé PENDANT la session :</t>
  </si>
  <si>
    <t xml:space="preserve">   • ok = sciait normalement → compté en SCIAGE BON</t>
  </si>
  <si>
    <t xml:space="preserve">   • sciage un côté / mauvaise épaisseur / rayures = sciait mal → SCIAGE DÉGRADÉ</t>
  </si>
  <si>
    <t xml:space="preserve">   • zéro / panne = machine ARRÊTÉE pendant la session → ARRÊT</t>
  </si>
  <si>
    <t>FEUILLE 3 — CHANGEMENTS DE LAMES (séparée) :</t>
  </si>
  <si>
    <t>Tu écris les HEURES début et fin de chaque changement de lame. La durée se calcule seule.</t>
  </si>
  <si>
    <t>Plus besoin de deviner les trous : tu écris chaque changement directement ici.</t>
  </si>
  <si>
    <t>CE QU'ON A SUPPRIMÉ :</t>
  </si>
  <si>
    <t>Le calcul automatique des trous entre sessions (la diagonale). C'est lui qui se cassait quand tu changeais de jour.</t>
  </si>
  <si>
    <t>Maintenant, les changements de lames sont écrits à la main dans leur feuille. Plus simple, plus sûr.</t>
  </si>
  <si>
    <t>LE BILAN ET LE TRS (feuilles 4 et 5) :</t>
  </si>
  <si>
    <t>Se calculent tout seuls. Le temps d'arrêt = sessions panne/zéro (feuille 2) + changements de lames (feuille 3).</t>
  </si>
  <si>
    <t>COULEURS : VERT = exemple/sûr. JAUNE = à remplir. BLEU = calcul automatique.</t>
  </si>
  <si>
    <t>CONSEIL : commence par la BICOUPE, un poste complet.</t>
  </si>
  <si>
    <t>LISTES POUR MENUS (ne pas modifier)</t>
  </si>
  <si>
    <t>Observations session</t>
  </si>
  <si>
    <t>Machines</t>
  </si>
  <si>
    <t>Essences</t>
  </si>
  <si>
    <t>ok</t>
  </si>
  <si>
    <t>Schulte (scie de tête)</t>
  </si>
  <si>
    <t>Ayous</t>
  </si>
  <si>
    <t>sciage un côté</t>
  </si>
  <si>
    <t>Bicoupe</t>
  </si>
  <si>
    <t>Azobé</t>
  </si>
  <si>
    <t>mauvaise épaisseur</t>
  </si>
  <si>
    <t>Brenta (déligneuse)</t>
  </si>
  <si>
    <t>Bilinga</t>
  </si>
  <si>
    <t>rayures</t>
  </si>
  <si>
    <t>Dédoubleuse</t>
  </si>
  <si>
    <t>Iroko</t>
  </si>
  <si>
    <t>zéro</t>
  </si>
  <si>
    <t>Ébouteuse</t>
  </si>
  <si>
    <t>Movingui</t>
  </si>
  <si>
    <t>panne mécanique</t>
  </si>
  <si>
    <t>panne électrique</t>
  </si>
  <si>
    <t>SESSIONS DE SCIAGE (heures début/fin)</t>
  </si>
  <si>
    <t>QUOI REMPLIR (jaune) : Date, Équipe, Machine (menu), Heure début, Heure fin, Observation (menu).</t>
  </si>
  <si>
    <t>Heures en hh:mm. Durée auto (gère minuit). Retard relève = trou quand l'équipe change (auto). Changement de lame = feuille 3.</t>
  </si>
  <si>
    <t>Date</t>
  </si>
  <si>
    <t>Équipe</t>
  </si>
  <si>
    <t>Machine</t>
  </si>
  <si>
    <t>Heure début</t>
  </si>
  <si>
    <t>Heure fin</t>
  </si>
  <si>
    <t>Durée (min, auto)</t>
  </si>
  <si>
    <t>Observation</t>
  </si>
  <si>
    <t>Retard relève (min, auto)</t>
  </si>
  <si>
    <t>Date du quart (auto)</t>
  </si>
  <si>
    <t>Créneau (auto)</t>
  </si>
  <si>
    <t>11/06</t>
  </si>
  <si>
    <t>B</t>
  </si>
  <si>
    <t>06:00</t>
  </si>
  <si>
    <t>08:00</t>
  </si>
  <si>
    <t>08:15</t>
  </si>
  <si>
    <t>09:00</t>
  </si>
  <si>
    <t>09:30</t>
  </si>
  <si>
    <t>11:00</t>
  </si>
  <si>
    <t>11:15</t>
  </si>
  <si>
    <t>13:40</t>
  </si>
  <si>
    <t>14:00</t>
  </si>
  <si>
    <t>↑ exemple, tu peux effacer</t>
  </si>
  <si>
    <t>deviation</t>
  </si>
  <si>
    <t>A</t>
  </si>
  <si>
    <t>C</t>
  </si>
  <si>
    <t>accident</t>
  </si>
  <si>
    <t>cassure de la lame</t>
  </si>
  <si>
    <t>brasure</t>
  </si>
  <si>
    <t>emoussé</t>
  </si>
  <si>
    <t>epaisseur</t>
  </si>
  <si>
    <t>arret panne</t>
  </si>
  <si>
    <t>dechet sciage</t>
  </si>
  <si>
    <t>manque de lame</t>
  </si>
  <si>
    <t>non demarrage+probleme mecanique+fuites d'air sur es verins 2 et 3 +pannes de l'aspirateur</t>
  </si>
  <si>
    <t>contrôle mecanique</t>
  </si>
  <si>
    <t>debut de sciage</t>
  </si>
  <si>
    <t>contrôle technique</t>
  </si>
  <si>
    <t>arret vidange de la fausse</t>
  </si>
  <si>
    <t>SESSIONS DE SCIAGE (heures début/fin) SHULTE</t>
  </si>
  <si>
    <t>devie</t>
  </si>
  <si>
    <t>rasé</t>
  </si>
  <si>
    <t>Lame cassé</t>
  </si>
  <si>
    <t>arret</t>
  </si>
  <si>
    <t>mauvaise lame</t>
  </si>
  <si>
    <t>pas de lame</t>
  </si>
  <si>
    <t>--- Pannes bicoupe ajoutées depuis le rapport du chef (équipe différente du scieur) ---</t>
  </si>
  <si>
    <t>CHANGEMENTS DE LAMES (feuille séparée)</t>
  </si>
  <si>
    <t>QUOI REMPLIR (jaune) : Date, Équipe, Machine, Heure début, Heure fin de chaque changement de lame.</t>
  </si>
  <si>
    <t>La durée se calcule seule. Chaque changement de lame est écrit ici, séparé des sessions. Plus de trou à deviner.</t>
  </si>
  <si>
    <t>Note (facultatif)</t>
  </si>
  <si>
    <t>BILAN PAR POSTE (automatique)</t>
  </si>
  <si>
    <t>QUOI REMPLIR (jaune) : Date, Équipe, Machine. Tout le reste s'additionne depuis les feuilles 2 et 3.</t>
  </si>
  <si>
    <t>Date quart</t>
  </si>
  <si>
    <t>Créneau</t>
  </si>
  <si>
    <t>Sciage bon (min)</t>
  </si>
  <si>
    <t>Sciage dégradé (min)</t>
  </si>
  <si>
    <t>Arrêt panne/zéro (min)</t>
  </si>
  <si>
    <t>Chgt lame (min)</t>
  </si>
  <si>
    <t>Retard relève (min)</t>
  </si>
  <si>
    <t>Arrêt total (min)</t>
  </si>
  <si>
    <t>TOTAL activité (min)</t>
  </si>
  <si>
    <t>Après-midi</t>
  </si>
  <si>
    <t>Nuit</t>
  </si>
  <si>
    <t>Matin</t>
  </si>
  <si>
    <t>TRS PAR POSTE-QUART — BICOUPE uniquement (filtré sur la machine)</t>
  </si>
  <si>
    <t>Un poste = un quart (date + créneau) de la BICOUPE. Réf 480 min. La Schulte est exclue de ce calcul (machine différente).</t>
  </si>
  <si>
    <t>Durée poste (min)</t>
  </si>
  <si>
    <t>Marche (min)</t>
  </si>
  <si>
    <t>Dispo</t>
  </si>
  <si>
    <t>Perf</t>
  </si>
  <si>
    <t>Qualité</t>
  </si>
  <si>
    <t>TRS</t>
  </si>
  <si>
    <t>chgt lame</t>
  </si>
  <si>
    <t>panne</t>
  </si>
  <si>
    <t>retard relève</t>
  </si>
  <si>
    <t>MOYENNE / TOTAL</t>
  </si>
  <si>
    <t>PERSONNEL (bloc 2 du rapport)</t>
  </si>
  <si>
    <t>QUOI REMPLIR (jaune) : absences, retards, EPI manquants. Une ligne par personne.</t>
  </si>
  <si>
    <t>Surtout utile pour l'application. Recopie le bloc 2)LE PERSONNEL du rapport du chef.</t>
  </si>
  <si>
    <t>Type (absence/retard/EPI)</t>
  </si>
  <si>
    <t>Nom</t>
  </si>
  <si>
    <t>Motif / détail</t>
  </si>
  <si>
    <t>Minutes (si retard)</t>
  </si>
  <si>
    <t>absence</t>
  </si>
  <si>
    <t>ZEGUE MARK</t>
  </si>
  <si>
    <t>EPI manquant</t>
  </si>
  <si>
    <t>OYONO TOBIE</t>
  </si>
  <si>
    <t>TENUE</t>
  </si>
  <si>
    <t>MENDJIM</t>
  </si>
  <si>
    <t>WABO</t>
  </si>
  <si>
    <t>EVINA</t>
  </si>
  <si>
    <t>TCHOUPE</t>
  </si>
  <si>
    <t>AGOUME</t>
  </si>
  <si>
    <t>TSOBE?G</t>
  </si>
  <si>
    <t>retard</t>
  </si>
  <si>
    <t>NOCKMUS</t>
  </si>
  <si>
    <t>MALADE</t>
  </si>
  <si>
    <t>NEBA</t>
  </si>
  <si>
    <t>EBAND</t>
  </si>
  <si>
    <t>LELE</t>
  </si>
  <si>
    <t>ZANG</t>
  </si>
  <si>
    <t>retard+EPI</t>
  </si>
  <si>
    <t>EBONY</t>
  </si>
  <si>
    <t>MBIDA</t>
  </si>
  <si>
    <t>MOUSSA</t>
  </si>
  <si>
    <t>LAGMO</t>
  </si>
  <si>
    <t>FOTSO</t>
  </si>
  <si>
    <t>IYAFA</t>
  </si>
  <si>
    <t>INJUSTIFIE</t>
  </si>
  <si>
    <t>BELINGA</t>
  </si>
  <si>
    <t>TOUJOURS EN RETARD</t>
  </si>
  <si>
    <t>EBANA</t>
  </si>
  <si>
    <t>MBANE</t>
  </si>
  <si>
    <t>EBANDA</t>
  </si>
  <si>
    <t>WAMBO</t>
  </si>
  <si>
    <t>MENYE</t>
  </si>
  <si>
    <t>PERMISSION</t>
  </si>
  <si>
    <t>ZEUPI</t>
  </si>
  <si>
    <t>EBA</t>
  </si>
  <si>
    <t>ALI</t>
  </si>
  <si>
    <t>MEDJIM</t>
  </si>
  <si>
    <t>TALA</t>
  </si>
  <si>
    <t>FOGUE</t>
  </si>
  <si>
    <t>WAMBA</t>
  </si>
  <si>
    <t>ZEMENGUE</t>
  </si>
  <si>
    <t>ABATE</t>
  </si>
  <si>
    <t>OBAM</t>
  </si>
  <si>
    <t>EKEL</t>
  </si>
  <si>
    <t>VAMBOU</t>
  </si>
  <si>
    <t>NGASSA</t>
  </si>
  <si>
    <t>ETOGA</t>
  </si>
  <si>
    <t>MANI</t>
  </si>
  <si>
    <t>ELONO</t>
  </si>
  <si>
    <t>LEONEL</t>
  </si>
  <si>
    <t>AKONO</t>
  </si>
  <si>
    <t>NGA NDAH</t>
  </si>
  <si>
    <t>NDJALEU</t>
  </si>
  <si>
    <t>ALO'O</t>
  </si>
  <si>
    <t>WABA</t>
  </si>
  <si>
    <t>ISSA</t>
  </si>
  <si>
    <t>ONDOA</t>
  </si>
  <si>
    <t>OWONA</t>
  </si>
  <si>
    <t>MEDJO</t>
  </si>
  <si>
    <t>SOH</t>
  </si>
  <si>
    <t>MEYOU</t>
  </si>
  <si>
    <t>EDOUARD</t>
  </si>
  <si>
    <t>SAMBA</t>
  </si>
  <si>
    <t>EDDY</t>
  </si>
  <si>
    <t>NOGENK</t>
  </si>
  <si>
    <t>BILAN / OBSERVATION DE LA JOURNÉE — PAR LE CHEF</t>
  </si>
  <si>
    <t>QUOI REMPLIR (jaune) : le bilan général écrit par le chef (remarques, points à améliorer).</t>
  </si>
  <si>
    <t>C'est le bloc 5)BILAN DE LA JOURNÉE du rapport du chef. Une ligne par poste (date + équipe).</t>
  </si>
  <si>
    <t>Chaîne</t>
  </si>
  <si>
    <t>Observation / bilan de la journée (texte du chef)</t>
  </si>
  <si>
    <t xml:space="preserve">                  mauvaise qaulité du bois (frake)</t>
  </si>
  <si>
    <t>bois ayant trop de defaut</t>
  </si>
  <si>
    <t>bois trop sale</t>
  </si>
  <si>
    <t>plusiers arret à cause des lames</t>
  </si>
  <si>
    <t>bois de qualité mediocre et pertubation des lames</t>
  </si>
  <si>
    <t>journée de traavail mediocre à cause des lames et de la qualité du bois</t>
  </si>
  <si>
    <t xml:space="preserve">probleme de lame sur la bcoupe qui enngendre deviation et sciage un coté </t>
  </si>
  <si>
    <t>journée de travail mediocre car les lames ne sont pas de bonne qualité</t>
  </si>
  <si>
    <t>journée de traval mediocre car pertubation des lames</t>
  </si>
  <si>
    <t>bonne journée de travail moins de pertubation qu'hier</t>
  </si>
  <si>
    <t xml:space="preserve">journé mecdocre car la qualité de bois  est mauvaieses à causes de labeau                       </t>
  </si>
  <si>
    <t>journee de travil abordable,ameliorer la qualité des bois depuis hier</t>
  </si>
  <si>
    <t>journée mediocre car bois null et sciage 1 coté toute la journée</t>
  </si>
  <si>
    <t>shulte et probleme de lames snon journée abordable</t>
  </si>
  <si>
    <t>journee de travil difficile l'aspirateur était en pannes donc on devais vider la fausse nous meme et la biicoupe sciait apres30 min bref on a commencé à travailler normalement à 18h apres depannages de l'aspirateur</t>
  </si>
  <si>
    <t>pertubation des lames et qualité d ayous pas bon</t>
  </si>
  <si>
    <t>jounee de travail abordable moins d'arrets que les joursprecedents et on souhaite une amelorarion des lames de la shulte</t>
  </si>
  <si>
    <t>pertubation des lames à la bivoupe ,la plupart des lames sciait 1 coté et deviais nous n'avons pas pu travailler normalement la shulte est rombe en panne à 11h40 jusqu’à 14h00</t>
  </si>
  <si>
    <t>journée de travail mediocre à cause du bois de mauvaiises qualité et beaucoup de pannes issues de la shulte</t>
  </si>
  <si>
    <t>bonne journéé de travail moins de pannes et de pertubations d lames on souhaite toujours une amelioration au niveau des lames</t>
  </si>
  <si>
    <t>journee de travail abordable</t>
  </si>
  <si>
    <t>pertubation des lames sur la bicoupe, ajouter à cela l'aspirateur ne fonctionne pas bien il faut suer 40minutes  et arreter la macine pour vider la fusse</t>
  </si>
  <si>
    <t>journée de travail mediocre à cause des arrets dues aux lames</t>
  </si>
  <si>
    <t>PRODUCTION PAR POSTE (bloc 1 du rapport)</t>
  </si>
  <si>
    <t>QUOI REMPLIR (jaune) : une ligne par essence produite dans le poste : contrat, essence, billons, demi-lunes, colis.</t>
  </si>
  <si>
    <t>Recopie le bloc 1)PRODUCTION du rapport du chef. Plusieurs essences le même jour = plusieurs lignes.</t>
  </si>
  <si>
    <t>N° contrat</t>
  </si>
  <si>
    <t>Essence</t>
  </si>
  <si>
    <t>Nb billons</t>
  </si>
  <si>
    <t>Nb demi-lunes/plateaux</t>
  </si>
  <si>
    <t>Colis principal</t>
  </si>
  <si>
    <t>Colis récup.</t>
  </si>
  <si>
    <t>Observations</t>
  </si>
  <si>
    <t>D297525/11</t>
  </si>
  <si>
    <t>DABEMA</t>
  </si>
  <si>
    <t>D15426/05</t>
  </si>
  <si>
    <t xml:space="preserve">BOIS MEDIORCRE </t>
  </si>
  <si>
    <t>D04026/02</t>
  </si>
  <si>
    <t>MOABI</t>
  </si>
  <si>
    <t>RAS</t>
  </si>
  <si>
    <t>FRAKE</t>
  </si>
  <si>
    <t>D06426/02</t>
  </si>
  <si>
    <t>BOIS PASSABLE</t>
  </si>
  <si>
    <t>D03926/02</t>
  </si>
  <si>
    <t>D14126/02</t>
  </si>
  <si>
    <t>(ici on reccuperer 2 AZOBE)</t>
  </si>
  <si>
    <t>moabi</t>
  </si>
  <si>
    <t>(1 ayous reccuperé)</t>
  </si>
  <si>
    <t>D14126/04</t>
  </si>
  <si>
    <t>D08726/03</t>
  </si>
  <si>
    <t>D16126/05</t>
  </si>
  <si>
    <t>D05626/02</t>
  </si>
  <si>
    <t>D08026/03</t>
  </si>
  <si>
    <t>BOIS PASSABLE OLB</t>
  </si>
  <si>
    <t>NON OLB</t>
  </si>
  <si>
    <t>D0926/03</t>
  </si>
  <si>
    <t>OLB</t>
  </si>
  <si>
    <t>D09226/03</t>
  </si>
  <si>
    <t>D14126/05</t>
  </si>
  <si>
    <t>D08261/03</t>
  </si>
  <si>
    <t>D14326/05</t>
  </si>
  <si>
    <t>D07626/03</t>
  </si>
  <si>
    <t>D09246/03</t>
  </si>
  <si>
    <t>D01426/01</t>
  </si>
  <si>
    <t>D014266/01</t>
  </si>
  <si>
    <t>BOIS MEDIORCRE</t>
  </si>
  <si>
    <t>RAS OLB</t>
  </si>
  <si>
    <t>RAS NON OLB</t>
  </si>
  <si>
    <t>D21925/07</t>
  </si>
  <si>
    <t>BOIS MEDIORCRE OLB</t>
  </si>
  <si>
    <t>D10626/03</t>
  </si>
  <si>
    <t>bois passable OLB</t>
  </si>
  <si>
    <t>D26525/10</t>
  </si>
  <si>
    <t>D2125/07</t>
  </si>
  <si>
    <t>D2225/07</t>
  </si>
  <si>
    <t>D30225/11</t>
  </si>
  <si>
    <t>BOIS PROPRE OLB</t>
  </si>
  <si>
    <t>D06626/03</t>
  </si>
  <si>
    <t>D08326/03</t>
  </si>
  <si>
    <t>D05926/02</t>
  </si>
  <si>
    <t>D22525/08</t>
  </si>
  <si>
    <t>D01726/04</t>
  </si>
  <si>
    <t>D14526/05</t>
  </si>
  <si>
    <t>LIMBALII</t>
  </si>
  <si>
    <t>D09126/03</t>
  </si>
  <si>
    <t>D29025/11</t>
  </si>
  <si>
    <t>SAPELLI</t>
  </si>
  <si>
    <t>LIMBALI</t>
  </si>
  <si>
    <t>BOIS MEDIOCRE OLB</t>
  </si>
  <si>
    <t>D08086/03</t>
  </si>
  <si>
    <t>D33625/02</t>
  </si>
  <si>
    <t>RAS  OLB</t>
  </si>
  <si>
    <t>D26925/10</t>
  </si>
  <si>
    <t>D2905/11</t>
  </si>
  <si>
    <t>D33025/12</t>
  </si>
  <si>
    <t>D29015/11</t>
  </si>
  <si>
    <t>D26925/12</t>
  </si>
  <si>
    <t>D13826/04</t>
  </si>
  <si>
    <t>D269225/10</t>
  </si>
  <si>
    <t>D21125/07</t>
  </si>
  <si>
    <t>D02892/11</t>
  </si>
  <si>
    <t>D10826/03</t>
  </si>
  <si>
    <t>D03526/02</t>
  </si>
  <si>
    <t>D00326/01</t>
  </si>
  <si>
    <t>06426/02</t>
  </si>
  <si>
    <t>D11425/04</t>
  </si>
  <si>
    <t>D02425/01</t>
  </si>
  <si>
    <t>D03226/01</t>
  </si>
  <si>
    <t>D05226/02</t>
  </si>
  <si>
    <t>PANNES — VERSION DU CHEF (toutes machines)</t>
  </si>
  <si>
    <t>Vue d'ensemble du chef sur TOUTES les machines. Durées calculées depuis les plages horaires qu'il a écrites.</t>
  </si>
  <si>
    <t>NOTE : pour le TRS de la bicoupe, on utilise les pannes des SESSIONS (feuille 2), pas celle-ci, afin d'éviter le double comptage. Cette feuille sert à la vue d'ensemble et au diagnostic.</t>
  </si>
  <si>
    <t>Plage horaire (texte chef)</t>
  </si>
  <si>
    <t>Durée (min, calculée)</t>
  </si>
  <si>
    <t>Type</t>
  </si>
  <si>
    <t>Cause / observation</t>
  </si>
  <si>
    <t>19/05</t>
  </si>
  <si>
    <t>19h47 à 21h07</t>
  </si>
  <si>
    <t>les volant ne montent plus comme d'ahabotudes</t>
  </si>
  <si>
    <t>21/05</t>
  </si>
  <si>
    <t>40 minutes</t>
  </si>
  <si>
    <t>28/05</t>
  </si>
  <si>
    <t>20h43 à21h10</t>
  </si>
  <si>
    <t>électrique</t>
  </si>
  <si>
    <t>panne electrique</t>
  </si>
  <si>
    <t>01/06</t>
  </si>
  <si>
    <t xml:space="preserve">train de rouleau </t>
  </si>
  <si>
    <t>8h15 à 9h10</t>
  </si>
  <si>
    <t>03/06</t>
  </si>
  <si>
    <t>11h40 à14h00</t>
  </si>
  <si>
    <t>6h40 à 8h330</t>
  </si>
  <si>
    <t>mécanique</t>
  </si>
  <si>
    <t>panne mecanique</t>
  </si>
  <si>
    <t>04/06</t>
  </si>
  <si>
    <t>8h00 à12h00</t>
  </si>
  <si>
    <t>reglage du volant moteur</t>
  </si>
  <si>
    <t>05/06</t>
  </si>
  <si>
    <t>6h00 à 7h00</t>
  </si>
  <si>
    <t>pannes mecaniiques</t>
  </si>
  <si>
    <t>10h40 à 12h35</t>
  </si>
  <si>
    <t>06/06</t>
  </si>
  <si>
    <t>19h30 à19h40</t>
  </si>
  <si>
    <t>pannes electriques</t>
  </si>
  <si>
    <t>09/06</t>
  </si>
  <si>
    <t>10/06</t>
  </si>
  <si>
    <t>6h00 à 8h30</t>
  </si>
  <si>
    <t>bras de la machine cassé</t>
  </si>
  <si>
    <t>10h00 à 11h40</t>
  </si>
  <si>
    <t>probleme de griffe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</si>
</sst>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dd/mm"/>
    <numFmt numFmtId="165" formatCode="d\-mmm"/>
    <numFmt numFmtId="166" formatCode="hh:mm"/>
    <numFmt numFmtId="167" formatCode="yyyy\-mm\-dd\ h:mm:ss"/>
    <numFmt numFmtId="168" formatCode="m/d/yyyy"/>
  </numFmts>
  <fonts count="13">
    <font>
      <sz val="11.0"/>
      <color/>
      <name val="Arial"/>
      <scheme val="minor"/>
    </font>
    <font>
      <b/>
      <sz val="15.0"/>
      <color rgb="FF1F4E79"/>
      <name val="Times New Roman"/>
    </font>
    <font>
      <sz val="11.0"/>
      <color/>
      <name val="Calibri"/>
    </font>
    <font>
      <b/>
      <sz val="12.0"/>
      <color rgb="FFC00000"/>
      <name val="Times New Roman"/>
    </font>
    <font>
      <b/>
      <sz val="13.0"/>
      <color rgb="FF1F4E79"/>
      <name val="Times New Roman"/>
    </font>
    <font>
      <sz val="11.0"/>
      <name val="Times New Roman"/>
    </font>
    <font>
      <b/>
      <sz val="12.0"/>
      <color rgb="FFFFFFFF"/>
      <name val="Times New Roman"/>
    </font>
    <font>
      <i/>
      <sz val="10.0"/>
      <color rgb="FF595959"/>
      <name val="Times New Roman"/>
    </font>
    <font>
      <sz val="11.0"/>
      <color rgb="FF9C0006"/>
      <name val="Calibri"/>
    </font>
    <font>
      <i/>
      <sz val="10.0"/>
      <color rgb="FFC00000"/>
      <name val="Times New Roman"/>
    </font>
    <font/>
    <font>
      <b/>
      <sz val="11.0"/>
      <color rgb="FFFFFFFF"/>
      <name val="Times New Roman"/>
    </font>
    <font>
      <b/>
      <sz val="11.0"/>
      <name val="Times New Roman"/>
    </font>
  </fonts>
  <fills count="11">
    <fill>
      <patternFill patternType="none"/>
    </fill>
    <fill>
      <patternFill patternType="lightGray"/>
    </fill>
    <fill>
      <patternFill patternType="solid">
        <fgColor rgb="FF1F4E79"/>
        <bgColor rgb="FF1F4E79"/>
      </patternFill>
    </fill>
    <fill>
      <patternFill patternType="solid">
        <fgColor rgb="FFFFF2CC"/>
        <bgColor rgb="FFFFF2CC"/>
      </patternFill>
    </fill>
    <fill>
      <patternFill patternType="solid">
        <fgColor rgb="FFC6EFCE"/>
        <bgColor rgb="FFC6EFCE"/>
      </patternFill>
    </fill>
    <fill>
      <patternFill patternType="solid">
        <fgColor rgb="FFBDD7EE"/>
        <bgColor rgb="FFBDD7EE"/>
      </patternFill>
    </fill>
    <fill>
      <patternFill patternType="solid">
        <fgColor rgb="FFD9E1F2"/>
        <bgColor rgb="FFD9E1F2"/>
      </patternFill>
    </fill>
    <fill>
      <patternFill patternType="solid">
        <fgColor rgb="FFFCE4D6"/>
        <bgColor rgb="FFFCE4D6"/>
      </patternFill>
    </fill>
    <fill>
      <patternFill patternType="solid">
        <fgColor rgb="FFFFEB9C"/>
        <bgColor rgb="FFFFEB9C"/>
      </patternFill>
    </fill>
    <fill>
      <patternFill patternType="solid">
        <fgColor rgb="FFFFC7CE"/>
        <bgColor rgb="FFFFC7CE"/>
      </patternFill>
    </fill>
    <fill>
      <patternFill patternType="solid">
        <fgColor rgb="FFFFD966"/>
        <bgColor rgb="FFFFD966"/>
      </patternFill>
    </fill>
  </fills>
  <borders count="10">
    <border/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  <border>
      <left/>
      <right/>
      <top/>
      <bottom/>
    </border>
    <border>
      <left/>
      <top/>
      <bottom/>
    </border>
    <border>
      <top/>
      <bottom/>
    </border>
    <border>
      <right/>
      <top/>
      <bottom/>
    </border>
    <border>
      <left style="thin">
        <color rgb="FFBFBFBF"/>
      </left>
      <right style="thin">
        <color rgb="FFBFBFBF"/>
      </right>
      <top style="thin">
        <color rgb="FFBFBFBF"/>
      </top>
      <bottom/>
    </border>
    <border>
      <left style="thin">
        <color rgb="FFBFBFBF"/>
      </left>
      <top style="thin">
        <color rgb="FFBFBFBF"/>
      </top>
      <bottom style="thin">
        <color rgb="FFBFBFBF"/>
      </bottom>
    </border>
    <border>
      <top style="thin">
        <color rgb="FFBFBFBF"/>
      </top>
      <bottom style="thin">
        <color rgb="FFBFBFBF"/>
      </bottom>
    </border>
    <border>
      <right style="thin">
        <color rgb="FFBFBFBF"/>
      </right>
      <top style="thin">
        <color rgb="FFBFBFBF"/>
      </top>
      <bottom style="thin">
        <color rgb="FFBFBFBF"/>
      </bottom>
    </border>
  </borders>
  <cellStyleXfs count="1">
    <xf borderId="0" fillId="0" fontId="0" numFmtId="0" applyAlignment="1" applyFont="1"/>
  </cellStyleXfs>
  <cellXfs count="6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bottom" wrapText="0"/>
    </xf>
    <xf borderId="0" fillId="0" fontId="2" numFmtId="0" xfId="0" applyAlignment="1" applyFont="1">
      <alignment shrinkToFit="0" vertical="bottom" wrapText="0"/>
    </xf>
    <xf borderId="0" fillId="0" fontId="3" numFmtId="0" xfId="0" applyAlignment="1" applyFont="1">
      <alignment horizontal="left" shrinkToFit="0" vertical="center" wrapText="1"/>
    </xf>
    <xf borderId="0" fillId="0" fontId="4" numFmtId="0" xfId="0" applyAlignment="1" applyFont="1">
      <alignment horizontal="left" shrinkToFit="0" vertical="center" wrapText="1"/>
    </xf>
    <xf borderId="0" fillId="0" fontId="5" numFmtId="0" xfId="0" applyAlignment="1" applyFont="1">
      <alignment horizontal="left" shrinkToFit="0" vertical="center" wrapText="1"/>
    </xf>
    <xf borderId="0" fillId="0" fontId="4" numFmtId="0" xfId="0" applyAlignment="1" applyFont="1">
      <alignment shrinkToFit="0" vertical="bottom" wrapText="0"/>
    </xf>
    <xf borderId="1" fillId="2" fontId="6" numFmtId="0" xfId="0" applyAlignment="1" applyBorder="1" applyFill="1" applyFont="1">
      <alignment horizontal="center" shrinkToFit="0" vertical="center" wrapText="1"/>
    </xf>
    <xf borderId="1" fillId="0" fontId="2" numFmtId="0" xfId="0" applyAlignment="1" applyBorder="1" applyFont="1">
      <alignment shrinkToFit="0" vertical="bottom" wrapText="0"/>
    </xf>
    <xf borderId="2" fillId="3" fontId="3" numFmtId="0" xfId="0" applyAlignment="1" applyBorder="1" applyFill="1" applyFont="1">
      <alignment horizontal="left" shrinkToFit="0" vertical="center" wrapText="1"/>
    </xf>
    <xf borderId="0" fillId="0" fontId="7" numFmtId="0" xfId="0" applyAlignment="1" applyFont="1">
      <alignment horizontal="left" shrinkToFit="0" vertical="center" wrapText="1"/>
    </xf>
    <xf borderId="1" fillId="4" fontId="2" numFmtId="0" xfId="0" applyAlignment="1" applyBorder="1" applyFill="1" applyFont="1">
      <alignment horizontal="center" shrinkToFit="0" vertical="center" wrapText="1"/>
    </xf>
    <xf borderId="1" fillId="5" fontId="2" numFmtId="1" xfId="0" applyAlignment="1" applyBorder="1" applyFill="1" applyFont="1" applyNumberFormat="1">
      <alignment horizontal="center" shrinkToFit="0" vertical="center" wrapText="1"/>
    </xf>
    <xf borderId="1" fillId="5" fontId="2" numFmtId="0" xfId="0" applyAlignment="1" applyBorder="1" applyFont="1">
      <alignment horizontal="center" shrinkToFit="0" vertical="center" wrapText="1"/>
    </xf>
    <xf borderId="1" fillId="6" fontId="2" numFmtId="164" xfId="0" applyAlignment="1" applyBorder="1" applyFill="1" applyFont="1" applyNumberFormat="1">
      <alignment horizontal="center" shrinkToFit="0" vertical="center" wrapText="1"/>
    </xf>
    <xf borderId="1" fillId="7" fontId="2" numFmtId="0" xfId="0" applyAlignment="1" applyBorder="1" applyFill="1" applyFont="1">
      <alignment horizontal="center" shrinkToFit="0" vertical="center" wrapText="1"/>
    </xf>
    <xf borderId="0" fillId="0" fontId="7" numFmtId="0" xfId="0" applyAlignment="1" applyFont="1">
      <alignment shrinkToFit="0" vertical="bottom" wrapText="0"/>
    </xf>
    <xf borderId="1" fillId="8" fontId="2" numFmtId="165" xfId="0" applyAlignment="1" applyBorder="1" applyFill="1" applyFont="1" applyNumberFormat="1">
      <alignment horizontal="center" shrinkToFit="0" vertical="center" wrapText="1"/>
    </xf>
    <xf borderId="1" fillId="8" fontId="2" numFmtId="0" xfId="0" applyAlignment="1" applyBorder="1" applyFont="1">
      <alignment horizontal="center" shrinkToFit="0" vertical="center" wrapText="1"/>
    </xf>
    <xf borderId="1" fillId="8" fontId="2" numFmtId="20" xfId="0" applyAlignment="1" applyBorder="1" applyFont="1" applyNumberFormat="1">
      <alignment horizontal="center" shrinkToFit="0" vertical="center" wrapText="1"/>
    </xf>
    <xf borderId="1" fillId="9" fontId="8" numFmtId="165" xfId="0" applyAlignment="1" applyBorder="1" applyFill="1" applyFont="1" applyNumberFormat="1">
      <alignment horizontal="center" shrinkToFit="0" vertical="center" wrapText="1"/>
    </xf>
    <xf borderId="1" fillId="9" fontId="8" numFmtId="0" xfId="0" applyAlignment="1" applyBorder="1" applyFont="1">
      <alignment horizontal="center" shrinkToFit="0" vertical="center" wrapText="1"/>
    </xf>
    <xf borderId="1" fillId="9" fontId="8" numFmtId="20" xfId="0" applyAlignment="1" applyBorder="1" applyFont="1" applyNumberFormat="1">
      <alignment horizontal="center" shrinkToFit="0" vertical="center" wrapText="1"/>
    </xf>
    <xf borderId="1" fillId="5" fontId="8" numFmtId="1" xfId="0" applyAlignment="1" applyBorder="1" applyFont="1" applyNumberFormat="1">
      <alignment horizontal="center" shrinkToFit="0" vertical="center" wrapText="1"/>
    </xf>
    <xf borderId="2" fillId="9" fontId="8" numFmtId="0" xfId="0" applyAlignment="1" applyBorder="1" applyFont="1">
      <alignment shrinkToFit="0" vertical="bottom" wrapText="0"/>
    </xf>
    <xf borderId="0" fillId="0" fontId="9" numFmtId="0" xfId="0" applyAlignment="1" applyFont="1">
      <alignment shrinkToFit="0" vertical="bottom" wrapText="0"/>
    </xf>
    <xf borderId="1" fillId="10" fontId="2" numFmtId="164" xfId="0" applyAlignment="1" applyBorder="1" applyFill="1" applyFont="1" applyNumberFormat="1">
      <alignment horizontal="center" shrinkToFit="0" vertical="center" wrapText="0"/>
    </xf>
    <xf borderId="1" fillId="10" fontId="2" numFmtId="0" xfId="0" applyAlignment="1" applyBorder="1" applyFont="1">
      <alignment horizontal="center" shrinkToFit="0" vertical="center" wrapText="0"/>
    </xf>
    <xf borderId="1" fillId="10" fontId="2" numFmtId="166" xfId="0" applyAlignment="1" applyBorder="1" applyFont="1" applyNumberFormat="1">
      <alignment horizontal="center" shrinkToFit="0" vertical="center" wrapText="0"/>
    </xf>
    <xf borderId="1" fillId="5" fontId="2" numFmtId="1" xfId="0" applyAlignment="1" applyBorder="1" applyFont="1" applyNumberFormat="1">
      <alignment horizontal="center" shrinkToFit="0" vertical="center" wrapText="0"/>
    </xf>
    <xf borderId="3" fillId="3" fontId="3" numFmtId="0" xfId="0" applyAlignment="1" applyBorder="1" applyFont="1">
      <alignment horizontal="left" shrinkToFit="0" vertical="center" wrapText="1"/>
    </xf>
    <xf borderId="4" fillId="0" fontId="10" numFmtId="0" xfId="0" applyBorder="1" applyFont="1"/>
    <xf borderId="5" fillId="0" fontId="10" numFmtId="0" xfId="0" applyBorder="1" applyFont="1"/>
    <xf borderId="6" fillId="2" fontId="6" numFmtId="0" xfId="0" applyAlignment="1" applyBorder="1" applyFont="1">
      <alignment horizontal="center" shrinkToFit="0" vertical="center" wrapText="1"/>
    </xf>
    <xf borderId="1" fillId="2" fontId="11" numFmtId="0" xfId="0" applyAlignment="1" applyBorder="1" applyFont="1">
      <alignment horizontal="center" shrinkToFit="0" vertical="center" wrapText="1"/>
    </xf>
    <xf borderId="1" fillId="4" fontId="2" numFmtId="49" xfId="0" applyAlignment="1" applyBorder="1" applyFont="1" applyNumberFormat="1">
      <alignment horizontal="center" shrinkToFit="0" vertical="bottom" wrapText="0"/>
    </xf>
    <xf borderId="1" fillId="4" fontId="2" numFmtId="0" xfId="0" applyAlignment="1" applyBorder="1" applyFont="1">
      <alignment horizontal="center" shrinkToFit="0" vertical="bottom" wrapText="0"/>
    </xf>
    <xf borderId="1" fillId="4" fontId="2" numFmtId="20" xfId="0" applyAlignment="1" applyBorder="1" applyFont="1" applyNumberFormat="1">
      <alignment horizontal="center" shrinkToFit="0" vertical="bottom" wrapText="0"/>
    </xf>
    <xf borderId="1" fillId="5" fontId="2" numFmtId="1" xfId="0" applyAlignment="1" applyBorder="1" applyFont="1" applyNumberFormat="1">
      <alignment horizontal="center" shrinkToFit="0" vertical="bottom" wrapText="0"/>
    </xf>
    <xf borderId="1" fillId="4" fontId="2" numFmtId="165" xfId="0" applyAlignment="1" applyBorder="1" applyFont="1" applyNumberFormat="1">
      <alignment horizontal="center" shrinkToFit="0" vertical="bottom" wrapText="0"/>
    </xf>
    <xf borderId="1" fillId="4" fontId="2" numFmtId="164" xfId="0" applyAlignment="1" applyBorder="1" applyFont="1" applyNumberFormat="1">
      <alignment horizontal="center" shrinkToFit="0" vertical="center" wrapText="1"/>
    </xf>
    <xf borderId="1" fillId="5" fontId="12" numFmtId="0" xfId="0" applyAlignment="1" applyBorder="1" applyFont="1">
      <alignment horizontal="center" shrinkToFit="0" vertical="center" wrapText="1"/>
    </xf>
    <xf borderId="1" fillId="4" fontId="7" numFmtId="164" xfId="0" applyAlignment="1" applyBorder="1" applyFont="1" applyNumberFormat="1">
      <alignment horizontal="center" shrinkToFit="0" vertical="center" wrapText="1"/>
    </xf>
    <xf borderId="0" fillId="0" fontId="2" numFmtId="165" xfId="0" applyAlignment="1" applyFont="1" applyNumberFormat="1">
      <alignment shrinkToFit="0" vertical="bottom" wrapText="0"/>
    </xf>
    <xf borderId="3" fillId="3" fontId="7" numFmtId="0" xfId="0" applyAlignment="1" applyBorder="1" applyFont="1">
      <alignment horizontal="left" shrinkToFit="0" vertical="bottom" wrapText="1"/>
    </xf>
    <xf borderId="1" fillId="5" fontId="2" numFmtId="9" xfId="0" applyAlignment="1" applyBorder="1" applyFont="1" applyNumberFormat="1">
      <alignment horizontal="center" shrinkToFit="0" vertical="center" wrapText="1"/>
    </xf>
    <xf borderId="1" fillId="7" fontId="3" numFmtId="9" xfId="0" applyAlignment="1" applyBorder="1" applyFont="1" applyNumberFormat="1">
      <alignment horizontal="center" shrinkToFit="0" vertical="center" wrapText="1"/>
    </xf>
    <xf borderId="7" fillId="3" fontId="12" numFmtId="0" xfId="0" applyAlignment="1" applyBorder="1" applyFont="1">
      <alignment horizontal="center" shrinkToFit="0" vertical="center" wrapText="1"/>
    </xf>
    <xf borderId="8" fillId="0" fontId="10" numFmtId="0" xfId="0" applyBorder="1" applyFont="1"/>
    <xf borderId="9" fillId="0" fontId="10" numFmtId="0" xfId="0" applyBorder="1" applyFont="1"/>
    <xf borderId="1" fillId="3" fontId="12" numFmtId="0" xfId="0" applyAlignment="1" applyBorder="1" applyFont="1">
      <alignment horizontal="center" shrinkToFit="0" vertical="center" wrapText="1"/>
    </xf>
    <xf borderId="1" fillId="3" fontId="12" numFmtId="9" xfId="0" applyAlignment="1" applyBorder="1" applyFont="1" applyNumberFormat="1">
      <alignment horizontal="center" shrinkToFit="0" vertical="center" wrapText="1"/>
    </xf>
    <xf borderId="1" fillId="4" fontId="2" numFmtId="167" xfId="0" applyAlignment="1" applyBorder="1" applyFont="1" applyNumberFormat="1">
      <alignment horizontal="center" shrinkToFit="0" vertical="center" wrapText="1"/>
    </xf>
    <xf borderId="1" fillId="8" fontId="2" numFmtId="0" xfId="0" applyAlignment="1" applyBorder="1" applyFont="1">
      <alignment horizontal="left" shrinkToFit="0" vertical="center" wrapText="1"/>
    </xf>
    <xf borderId="1" fillId="4" fontId="2" numFmtId="0" xfId="0" applyAlignment="1" applyBorder="1" applyFont="1">
      <alignment horizontal="left" shrinkToFit="0" vertical="center" wrapText="1"/>
    </xf>
    <xf borderId="1" fillId="0" fontId="2" numFmtId="0" xfId="0" applyAlignment="1" applyBorder="1" applyFont="1">
      <alignment horizontal="center" shrinkToFit="0" vertical="center" wrapText="1"/>
    </xf>
    <xf borderId="1" fillId="0" fontId="2" numFmtId="0" xfId="0" applyAlignment="1" applyBorder="1" applyFont="1">
      <alignment horizontal="left" shrinkToFit="0" vertical="center" wrapText="1"/>
    </xf>
    <xf borderId="1" fillId="8" fontId="2" numFmtId="168" xfId="0" applyAlignment="1" applyBorder="1" applyFont="1" applyNumberFormat="1">
      <alignment shrinkToFit="0" vertical="bottom" wrapText="0"/>
    </xf>
    <xf borderId="1" fillId="8" fontId="2" numFmtId="0" xfId="0" applyAlignment="1" applyBorder="1" applyFont="1">
      <alignment shrinkToFit="0" vertical="bottom" wrapText="0"/>
    </xf>
    <xf borderId="0" fillId="0" fontId="2" numFmtId="168" xfId="0" applyAlignment="1" applyFont="1" applyNumberForma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b="0" l="0" r="0" t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b="0" l="0" r="0" t="0"/>
        </a:gradFill>
      </a:fillStyleLst>
      <a:lnStyleLst>
        <a:ln cap="flat" cmpd="sng" w="9525" algn="ctr">
          <a:prstDash val="solid"/>
        </a:ln>
        <a:ln cap="flat" cmpd="sng" w="25400" algn="ctr">
          <a:prstDash val="solid"/>
        </a:ln>
        <a:ln cap="flat" cmpd="sng" w="38100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b="180000" l="50000" r="50000" t="-80000"/>
          </a:path>
          <a:tileRect b="0" l="0" r="0" t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b="50000" l="50000" r="50000" t="50000"/>
          </a:path>
          <a:tileRect b="0" l="0" r="0" t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.0"/>
    <col customWidth="1" min="2" max="2" width="95.0"/>
    <col customWidth="1" min="3" max="11" width="8.57"/>
  </cols>
  <sheetData>
    <row r="1" ht="18.0" customHeight="1">
      <c r="A1" s="1" t="s">
        <v>0</v>
      </c>
    </row>
    <row r="2" ht="14.25" customHeight="1">
      <c r="A2" s="2"/>
      <c r="B2" s="2"/>
    </row>
    <row r="3" ht="14.25" customHeight="1">
      <c r="A3" s="2"/>
      <c r="B3" s="2"/>
    </row>
    <row r="4" ht="21.75" customHeight="1">
      <c r="A4" s="2"/>
      <c r="B4" s="3" t="s">
        <v>1</v>
      </c>
    </row>
    <row r="5" ht="14.25" customHeight="1">
      <c r="A5" s="2"/>
      <c r="B5" s="2"/>
    </row>
    <row r="6" ht="21.75" customHeight="1">
      <c r="A6" s="2"/>
      <c r="B6" s="4" t="s">
        <v>2</v>
      </c>
    </row>
    <row r="7" ht="21.75" customHeight="1">
      <c r="A7" s="2"/>
      <c r="B7" s="5" t="s">
        <v>3</v>
      </c>
    </row>
    <row r="8" ht="21.75" customHeight="1">
      <c r="A8" s="2"/>
      <c r="B8" s="5" t="s">
        <v>4</v>
      </c>
    </row>
    <row r="9" ht="21.75" customHeight="1">
      <c r="A9" s="2"/>
      <c r="B9" s="5" t="s">
        <v>5</v>
      </c>
    </row>
    <row r="10" ht="21.75" customHeight="1">
      <c r="A10" s="2"/>
      <c r="B10" s="5" t="s">
        <v>6</v>
      </c>
    </row>
    <row r="11" ht="21.75" customHeight="1">
      <c r="A11" s="2"/>
      <c r="B11" s="5" t="s">
        <v>7</v>
      </c>
    </row>
    <row r="12" ht="21.75" customHeight="1">
      <c r="A12" s="2"/>
      <c r="B12" s="5" t="s">
        <v>8</v>
      </c>
    </row>
    <row r="13" ht="14.25" customHeight="1">
      <c r="A13" s="2"/>
      <c r="B13" s="2"/>
    </row>
    <row r="14" ht="21.75" customHeight="1">
      <c r="A14" s="2"/>
      <c r="B14" s="4" t="s">
        <v>9</v>
      </c>
    </row>
    <row r="15" ht="21.75" customHeight="1">
      <c r="A15" s="2"/>
      <c r="B15" s="5" t="s">
        <v>10</v>
      </c>
    </row>
    <row r="16" ht="21.75" customHeight="1">
      <c r="A16" s="2"/>
      <c r="B16" s="5" t="s">
        <v>11</v>
      </c>
    </row>
    <row r="17" ht="14.25" customHeight="1">
      <c r="A17" s="2"/>
      <c r="B17" s="2"/>
    </row>
    <row r="18" ht="21.75" customHeight="1">
      <c r="A18" s="2"/>
      <c r="B18" s="4" t="s">
        <v>12</v>
      </c>
    </row>
    <row r="19" ht="21.75" customHeight="1">
      <c r="A19" s="2"/>
      <c r="B19" s="5" t="s">
        <v>13</v>
      </c>
    </row>
    <row r="20" ht="21.75" customHeight="1">
      <c r="A20" s="2"/>
      <c r="B20" s="5" t="s">
        <v>14</v>
      </c>
    </row>
    <row r="21" ht="14.25" customHeight="1">
      <c r="A21" s="2"/>
      <c r="B21" s="2"/>
    </row>
    <row r="22" ht="21.75" customHeight="1">
      <c r="A22" s="2"/>
      <c r="B22" s="4" t="s">
        <v>15</v>
      </c>
    </row>
    <row r="23" ht="21.75" customHeight="1">
      <c r="A23" s="2"/>
      <c r="B23" s="5" t="s">
        <v>16</v>
      </c>
    </row>
    <row r="24" ht="14.25" customHeight="1">
      <c r="A24" s="2"/>
      <c r="B24" s="2"/>
    </row>
    <row r="25" ht="21.75" customHeight="1">
      <c r="A25" s="2"/>
      <c r="B25" s="5" t="s">
        <v>17</v>
      </c>
    </row>
    <row r="26" ht="21.75" customHeight="1">
      <c r="A26" s="2"/>
      <c r="B26" s="3" t="s">
        <v>18</v>
      </c>
    </row>
    <row r="27" ht="14.25" customHeight="1">
      <c r="A27" s="2"/>
      <c r="B27" s="2"/>
    </row>
    <row r="28" ht="14.25" customHeight="1">
      <c r="A28" s="2"/>
      <c r="B28" s="2"/>
    </row>
    <row r="29" ht="14.25" customHeight="1">
      <c r="A29" s="2"/>
      <c r="B29" s="2"/>
    </row>
    <row r="30" ht="14.25" customHeight="1">
      <c r="A30" s="2"/>
      <c r="B30" s="2"/>
    </row>
    <row r="31" ht="14.25" customHeight="1">
      <c r="A31" s="2"/>
      <c r="B31" s="2"/>
    </row>
    <row r="32" ht="14.25" customHeight="1">
      <c r="A32" s="2"/>
      <c r="B32" s="2"/>
    </row>
    <row r="33" ht="14.25" customHeight="1">
      <c r="A33" s="2"/>
      <c r="B33" s="2"/>
    </row>
    <row r="34" ht="14.25" customHeight="1">
      <c r="A34" s="2"/>
      <c r="B34" s="2"/>
    </row>
    <row r="35" ht="14.25" customHeight="1">
      <c r="A35" s="2"/>
      <c r="B35" s="2"/>
    </row>
    <row r="36" ht="14.25" customHeight="1">
      <c r="A36" s="2"/>
      <c r="B36" s="2"/>
    </row>
    <row r="37" ht="14.25" customHeight="1">
      <c r="A37" s="2"/>
      <c r="B37" s="2"/>
    </row>
    <row r="38" ht="14.25" customHeight="1">
      <c r="A38" s="2"/>
      <c r="B38" s="2"/>
    </row>
    <row r="39" ht="14.25" customHeight="1">
      <c r="A39" s="2"/>
      <c r="B39" s="2"/>
    </row>
    <row r="40" ht="14.25" customHeight="1">
      <c r="A40" s="2"/>
      <c r="B40" s="2"/>
    </row>
    <row r="41" ht="14.25" customHeight="1">
      <c r="A41" s="2"/>
      <c r="B41" s="2"/>
    </row>
    <row r="42" ht="14.25" customHeight="1">
      <c r="A42" s="2"/>
      <c r="B42" s="2"/>
    </row>
    <row r="43" ht="14.25" customHeight="1">
      <c r="A43" s="2"/>
      <c r="B43" s="2"/>
    </row>
    <row r="44" ht="14.25" customHeight="1">
      <c r="A44" s="2"/>
      <c r="B44" s="2"/>
    </row>
    <row r="45" ht="14.25" customHeight="1">
      <c r="A45" s="2"/>
      <c r="B45" s="2"/>
    </row>
    <row r="46" ht="14.25" customHeight="1">
      <c r="A46" s="2"/>
      <c r="B46" s="2"/>
    </row>
    <row r="47" ht="14.25" customHeight="1">
      <c r="A47" s="2"/>
      <c r="B47" s="2"/>
    </row>
    <row r="48" ht="14.25" customHeight="1">
      <c r="A48" s="2"/>
      <c r="B48" s="2"/>
    </row>
    <row r="49" ht="14.25" customHeight="1">
      <c r="A49" s="2"/>
      <c r="B49" s="2"/>
    </row>
    <row r="50" ht="14.25" customHeight="1">
      <c r="A50" s="2"/>
      <c r="B50" s="2"/>
    </row>
    <row r="51" ht="14.25" customHeight="1">
      <c r="A51" s="2"/>
      <c r="B51" s="2"/>
    </row>
    <row r="52" ht="14.25" customHeight="1">
      <c r="A52" s="2"/>
      <c r="B52" s="2"/>
    </row>
    <row r="53" ht="14.25" customHeight="1">
      <c r="A53" s="2"/>
      <c r="B53" s="2"/>
    </row>
    <row r="54" ht="14.25" customHeight="1">
      <c r="A54" s="2"/>
      <c r="B54" s="2"/>
    </row>
    <row r="55" ht="14.25" customHeight="1">
      <c r="A55" s="2"/>
      <c r="B55" s="2"/>
    </row>
    <row r="56" ht="14.25" customHeight="1">
      <c r="A56" s="2"/>
      <c r="B56" s="2"/>
    </row>
    <row r="57" ht="14.25" customHeight="1">
      <c r="A57" s="2"/>
      <c r="B57" s="2"/>
    </row>
    <row r="58" ht="14.25" customHeight="1">
      <c r="A58" s="2"/>
      <c r="B58" s="2"/>
    </row>
    <row r="59" ht="14.25" customHeight="1">
      <c r="A59" s="2"/>
      <c r="B59" s="2"/>
    </row>
    <row r="60" ht="14.25" customHeight="1">
      <c r="A60" s="2"/>
      <c r="B60" s="2"/>
    </row>
    <row r="61" ht="14.25" customHeight="1">
      <c r="A61" s="2"/>
      <c r="B61" s="2"/>
    </row>
    <row r="62" ht="14.25" customHeight="1">
      <c r="A62" s="2"/>
      <c r="B62" s="2"/>
    </row>
    <row r="63" ht="14.25" customHeight="1">
      <c r="A63" s="2"/>
      <c r="B63" s="2"/>
    </row>
    <row r="64" ht="14.25" customHeight="1">
      <c r="A64" s="2"/>
      <c r="B64" s="2"/>
    </row>
    <row r="65" ht="14.25" customHeight="1">
      <c r="A65" s="2"/>
      <c r="B65" s="2"/>
    </row>
    <row r="66" ht="14.25" customHeight="1">
      <c r="A66" s="2"/>
      <c r="B66" s="2"/>
    </row>
    <row r="67" ht="14.25" customHeight="1">
      <c r="A67" s="2"/>
      <c r="B67" s="2"/>
    </row>
    <row r="68" ht="14.25" customHeight="1">
      <c r="A68" s="2"/>
      <c r="B68" s="2"/>
    </row>
    <row r="69" ht="14.25" customHeight="1">
      <c r="A69" s="2"/>
      <c r="B69" s="2"/>
    </row>
    <row r="70" ht="14.25" customHeight="1">
      <c r="A70" s="2"/>
      <c r="B70" s="2"/>
    </row>
    <row r="71" ht="14.25" customHeight="1">
      <c r="A71" s="2"/>
      <c r="B71" s="2"/>
    </row>
    <row r="72" ht="14.25" customHeight="1">
      <c r="A72" s="2"/>
      <c r="B72" s="2"/>
    </row>
    <row r="73" ht="14.25" customHeight="1">
      <c r="A73" s="2"/>
      <c r="B73" s="2"/>
    </row>
    <row r="74" ht="14.25" customHeight="1">
      <c r="A74" s="2"/>
      <c r="B74" s="2"/>
    </row>
    <row r="75" ht="14.25" customHeight="1">
      <c r="A75" s="2"/>
      <c r="B75" s="2"/>
    </row>
    <row r="76" ht="14.25" customHeight="1">
      <c r="A76" s="2"/>
      <c r="B76" s="2"/>
    </row>
    <row r="77" ht="14.25" customHeight="1">
      <c r="A77" s="2"/>
      <c r="B77" s="2"/>
    </row>
    <row r="78" ht="14.25" customHeight="1">
      <c r="A78" s="2"/>
      <c r="B78" s="2"/>
    </row>
    <row r="79" ht="14.25" customHeight="1">
      <c r="A79" s="2"/>
      <c r="B79" s="2"/>
    </row>
    <row r="80" ht="14.25" customHeight="1">
      <c r="A80" s="2"/>
      <c r="B80" s="2"/>
    </row>
    <row r="81" ht="14.25" customHeight="1">
      <c r="A81" s="2"/>
      <c r="B81" s="2"/>
    </row>
    <row r="82" ht="14.25" customHeight="1">
      <c r="A82" s="2"/>
      <c r="B82" s="2"/>
    </row>
    <row r="83" ht="14.25" customHeight="1">
      <c r="A83" s="2"/>
      <c r="B83" s="2"/>
    </row>
    <row r="84" ht="14.25" customHeight="1">
      <c r="A84" s="2"/>
      <c r="B84" s="2"/>
    </row>
    <row r="85" ht="14.25" customHeight="1">
      <c r="A85" s="2"/>
      <c r="B85" s="2"/>
    </row>
    <row r="86" ht="14.25" customHeight="1">
      <c r="A86" s="2"/>
      <c r="B86" s="2"/>
    </row>
    <row r="87" ht="14.25" customHeight="1">
      <c r="A87" s="2"/>
      <c r="B87" s="2"/>
    </row>
    <row r="88" ht="14.25" customHeight="1">
      <c r="A88" s="2"/>
      <c r="B88" s="2"/>
    </row>
    <row r="89" ht="14.25" customHeight="1">
      <c r="A89" s="2"/>
      <c r="B89" s="2"/>
    </row>
    <row r="90" ht="14.25" customHeight="1">
      <c r="A90" s="2"/>
      <c r="B90" s="2"/>
    </row>
    <row r="91" ht="14.25" customHeight="1">
      <c r="A91" s="2"/>
      <c r="B91" s="2"/>
    </row>
    <row r="92" ht="14.25" customHeight="1">
      <c r="A92" s="2"/>
      <c r="B92" s="2"/>
    </row>
    <row r="93" ht="14.25" customHeight="1">
      <c r="A93" s="2"/>
      <c r="B93" s="2"/>
    </row>
    <row r="94" ht="14.25" customHeight="1">
      <c r="A94" s="2"/>
      <c r="B94" s="2"/>
    </row>
    <row r="95" ht="14.25" customHeight="1">
      <c r="A95" s="2"/>
      <c r="B95" s="2"/>
    </row>
    <row r="96" ht="14.25" customHeight="1">
      <c r="A96" s="2"/>
      <c r="B96" s="2"/>
    </row>
    <row r="97" ht="14.25" customHeight="1">
      <c r="A97" s="2"/>
      <c r="B97" s="2"/>
    </row>
    <row r="98" ht="14.25" customHeight="1">
      <c r="A98" s="2"/>
      <c r="B98" s="2"/>
    </row>
    <row r="99" ht="14.25" customHeight="1">
      <c r="A99" s="2"/>
      <c r="B99" s="2"/>
    </row>
    <row r="100" ht="14.25" customHeight="1">
      <c r="A100" s="2"/>
      <c r="B100" s="2"/>
    </row>
  </sheetData>
  <mergeCells count="1">
    <mergeCell ref="A1:B1"/>
  </mergeCells>
  <printOptions/>
  <pageMargins bottom="1.0" footer="0.0" header="0.0" left="0.75" right="0.75" top="1.0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0.0"/>
    <col customWidth="1" min="2" max="2" width="8.57"/>
    <col customWidth="1" min="3" max="3" width="22.0"/>
    <col customWidth="1" min="4" max="4" width="8.57"/>
    <col customWidth="1" min="5" max="5" width="20.0"/>
    <col customWidth="1" min="6" max="11" width="8.57"/>
  </cols>
  <sheetData>
    <row r="1" ht="15.75" customHeight="1">
      <c r="A1" s="6" t="s">
        <v>19</v>
      </c>
    </row>
    <row r="2" ht="14.25" customHeight="1">
      <c r="A2" s="2"/>
      <c r="C2" s="2"/>
      <c r="E2" s="2"/>
    </row>
    <row r="3" ht="26.25" customHeight="1">
      <c r="A3" s="7" t="s">
        <v>20</v>
      </c>
      <c r="C3" s="7" t="s">
        <v>21</v>
      </c>
      <c r="E3" s="7" t="s">
        <v>22</v>
      </c>
    </row>
    <row r="4" ht="15.0" customHeight="1">
      <c r="A4" s="8" t="s">
        <v>23</v>
      </c>
      <c r="C4" s="8" t="s">
        <v>24</v>
      </c>
      <c r="E4" s="8" t="s">
        <v>25</v>
      </c>
    </row>
    <row r="5" ht="15.0" customHeight="1">
      <c r="A5" s="8" t="s">
        <v>26</v>
      </c>
      <c r="C5" s="8" t="s">
        <v>27</v>
      </c>
      <c r="E5" s="8" t="s">
        <v>28</v>
      </c>
    </row>
    <row r="6" ht="15.0" customHeight="1">
      <c r="A6" s="8" t="s">
        <v>29</v>
      </c>
      <c r="C6" s="8" t="s">
        <v>30</v>
      </c>
      <c r="E6" s="8" t="s">
        <v>31</v>
      </c>
    </row>
    <row r="7" ht="15.0" customHeight="1">
      <c r="A7" s="8" t="s">
        <v>32</v>
      </c>
      <c r="C7" s="8" t="s">
        <v>33</v>
      </c>
      <c r="E7" s="8" t="s">
        <v>34</v>
      </c>
    </row>
    <row r="8" ht="15.0" customHeight="1">
      <c r="A8" s="8" t="s">
        <v>35</v>
      </c>
      <c r="C8" s="8" t="s">
        <v>36</v>
      </c>
      <c r="E8" s="8" t="s">
        <v>37</v>
      </c>
    </row>
    <row r="9" ht="15.0" customHeight="1">
      <c r="A9" s="8" t="s">
        <v>38</v>
      </c>
      <c r="C9" s="2"/>
      <c r="E9" s="2"/>
    </row>
    <row r="10" ht="15.0" customHeight="1">
      <c r="A10" s="8" t="s">
        <v>39</v>
      </c>
      <c r="C10" s="2"/>
      <c r="E10" s="2"/>
    </row>
    <row r="11" ht="14.25" customHeight="1">
      <c r="A11" s="2"/>
      <c r="C11" s="2"/>
      <c r="E11" s="2"/>
    </row>
    <row r="12" ht="14.25" customHeight="1">
      <c r="A12" s="2"/>
      <c r="C12" s="2"/>
      <c r="E12" s="2"/>
    </row>
    <row r="13" ht="14.25" customHeight="1">
      <c r="A13" s="2"/>
      <c r="C13" s="2"/>
      <c r="E13" s="2"/>
    </row>
    <row r="14" ht="14.25" customHeight="1">
      <c r="A14" s="2"/>
      <c r="C14" s="2"/>
      <c r="E14" s="2"/>
    </row>
    <row r="15" ht="14.25" customHeight="1">
      <c r="A15" s="2"/>
      <c r="C15" s="2"/>
      <c r="E15" s="2"/>
    </row>
    <row r="16" ht="14.25" customHeight="1">
      <c r="A16" s="2"/>
      <c r="C16" s="2"/>
      <c r="E16" s="2"/>
    </row>
    <row r="17" ht="14.25" customHeight="1">
      <c r="A17" s="2"/>
      <c r="C17" s="2"/>
      <c r="E17" s="2"/>
    </row>
    <row r="18" ht="14.25" customHeight="1">
      <c r="A18" s="2"/>
      <c r="C18" s="2"/>
      <c r="E18" s="2"/>
    </row>
    <row r="19" ht="14.25" customHeight="1">
      <c r="A19" s="2"/>
      <c r="C19" s="2"/>
      <c r="E19" s="2"/>
    </row>
    <row r="20" ht="14.25" customHeight="1">
      <c r="A20" s="2"/>
      <c r="C20" s="2"/>
      <c r="E20" s="2"/>
    </row>
    <row r="21" ht="14.25" customHeight="1">
      <c r="A21" s="2"/>
      <c r="C21" s="2"/>
      <c r="E21" s="2"/>
    </row>
    <row r="22" ht="14.25" customHeight="1">
      <c r="A22" s="2"/>
      <c r="C22" s="2"/>
      <c r="E22" s="2"/>
    </row>
    <row r="23" ht="14.25" customHeight="1">
      <c r="A23" s="2"/>
      <c r="C23" s="2"/>
      <c r="E23" s="2"/>
    </row>
    <row r="24" ht="14.25" customHeight="1">
      <c r="A24" s="2"/>
      <c r="C24" s="2"/>
      <c r="E24" s="2"/>
    </row>
    <row r="25" ht="14.25" customHeight="1">
      <c r="A25" s="2"/>
      <c r="C25" s="2"/>
      <c r="E25" s="2"/>
    </row>
    <row r="26" ht="14.25" customHeight="1">
      <c r="A26" s="2"/>
      <c r="C26" s="2"/>
      <c r="E26" s="2"/>
    </row>
    <row r="27" ht="14.25" customHeight="1">
      <c r="A27" s="2"/>
      <c r="C27" s="2"/>
      <c r="E27" s="2"/>
    </row>
    <row r="28" ht="14.25" customHeight="1">
      <c r="A28" s="2"/>
      <c r="C28" s="2"/>
      <c r="E28" s="2"/>
    </row>
    <row r="29" ht="14.25" customHeight="1">
      <c r="A29" s="2"/>
      <c r="C29" s="2"/>
      <c r="E29" s="2"/>
    </row>
    <row r="30" ht="14.25" customHeight="1">
      <c r="A30" s="2"/>
      <c r="C30" s="2"/>
      <c r="E30" s="2"/>
    </row>
    <row r="31" ht="14.25" customHeight="1">
      <c r="A31" s="2"/>
      <c r="C31" s="2"/>
      <c r="E31" s="2"/>
    </row>
    <row r="32" ht="14.25" customHeight="1">
      <c r="A32" s="2"/>
      <c r="C32" s="2"/>
      <c r="E32" s="2"/>
    </row>
    <row r="33" ht="14.25" customHeight="1">
      <c r="A33" s="2"/>
      <c r="C33" s="2"/>
      <c r="E33" s="2"/>
    </row>
    <row r="34" ht="14.25" customHeight="1">
      <c r="A34" s="2"/>
      <c r="C34" s="2"/>
      <c r="E34" s="2"/>
    </row>
    <row r="35" ht="14.25" customHeight="1">
      <c r="A35" s="2"/>
      <c r="C35" s="2"/>
      <c r="E35" s="2"/>
    </row>
    <row r="36" ht="14.25" customHeight="1">
      <c r="A36" s="2"/>
      <c r="C36" s="2"/>
      <c r="E36" s="2"/>
    </row>
    <row r="37" ht="14.25" customHeight="1">
      <c r="A37" s="2"/>
      <c r="C37" s="2"/>
      <c r="E37" s="2"/>
    </row>
    <row r="38" ht="14.25" customHeight="1">
      <c r="A38" s="2"/>
      <c r="C38" s="2"/>
      <c r="E38" s="2"/>
    </row>
    <row r="39" ht="14.25" customHeight="1">
      <c r="A39" s="2"/>
      <c r="C39" s="2"/>
      <c r="E39" s="2"/>
    </row>
    <row r="40" ht="14.25" customHeight="1">
      <c r="A40" s="2"/>
      <c r="C40" s="2"/>
      <c r="E40" s="2"/>
    </row>
    <row r="41" ht="14.25" customHeight="1">
      <c r="A41" s="2"/>
      <c r="C41" s="2"/>
      <c r="E41" s="2"/>
    </row>
    <row r="42" ht="14.25" customHeight="1">
      <c r="A42" s="2"/>
      <c r="C42" s="2"/>
      <c r="E42" s="2"/>
    </row>
    <row r="43" ht="14.25" customHeight="1">
      <c r="A43" s="2"/>
      <c r="C43" s="2"/>
      <c r="E43" s="2"/>
    </row>
    <row r="44" ht="14.25" customHeight="1">
      <c r="A44" s="2"/>
      <c r="C44" s="2"/>
      <c r="E44" s="2"/>
    </row>
    <row r="45" ht="14.25" customHeight="1">
      <c r="A45" s="2"/>
      <c r="C45" s="2"/>
      <c r="E45" s="2"/>
    </row>
    <row r="46" ht="14.25" customHeight="1">
      <c r="A46" s="2"/>
      <c r="C46" s="2"/>
      <c r="E46" s="2"/>
    </row>
    <row r="47" ht="14.25" customHeight="1">
      <c r="A47" s="2"/>
      <c r="C47" s="2"/>
      <c r="E47" s="2"/>
    </row>
    <row r="48" ht="14.25" customHeight="1">
      <c r="A48" s="2"/>
      <c r="C48" s="2"/>
      <c r="E48" s="2"/>
    </row>
    <row r="49" ht="14.25" customHeight="1">
      <c r="A49" s="2"/>
      <c r="C49" s="2"/>
      <c r="E49" s="2"/>
    </row>
    <row r="50" ht="14.25" customHeight="1">
      <c r="A50" s="2"/>
      <c r="C50" s="2"/>
      <c r="E50" s="2"/>
    </row>
    <row r="51" ht="14.25" customHeight="1">
      <c r="A51" s="2"/>
      <c r="C51" s="2"/>
      <c r="E51" s="2"/>
    </row>
    <row r="52" ht="14.25" customHeight="1">
      <c r="A52" s="2"/>
      <c r="C52" s="2"/>
      <c r="E52" s="2"/>
    </row>
    <row r="53" ht="14.25" customHeight="1">
      <c r="A53" s="2"/>
      <c r="C53" s="2"/>
      <c r="E53" s="2"/>
    </row>
    <row r="54" ht="14.25" customHeight="1">
      <c r="A54" s="2"/>
      <c r="C54" s="2"/>
      <c r="E54" s="2"/>
    </row>
    <row r="55" ht="14.25" customHeight="1">
      <c r="A55" s="2"/>
      <c r="C55" s="2"/>
      <c r="E55" s="2"/>
    </row>
    <row r="56" ht="14.25" customHeight="1">
      <c r="A56" s="2"/>
      <c r="C56" s="2"/>
      <c r="E56" s="2"/>
    </row>
    <row r="57" ht="14.25" customHeight="1">
      <c r="A57" s="2"/>
      <c r="C57" s="2"/>
      <c r="E57" s="2"/>
    </row>
    <row r="58" ht="14.25" customHeight="1">
      <c r="A58" s="2"/>
      <c r="C58" s="2"/>
      <c r="E58" s="2"/>
    </row>
    <row r="59" ht="14.25" customHeight="1">
      <c r="A59" s="2"/>
      <c r="C59" s="2"/>
      <c r="E59" s="2"/>
    </row>
    <row r="60" ht="14.25" customHeight="1">
      <c r="A60" s="2"/>
      <c r="C60" s="2"/>
      <c r="E60" s="2"/>
    </row>
    <row r="61" ht="14.25" customHeight="1">
      <c r="A61" s="2"/>
      <c r="C61" s="2"/>
      <c r="E61" s="2"/>
    </row>
    <row r="62" ht="14.25" customHeight="1">
      <c r="A62" s="2"/>
      <c r="C62" s="2"/>
      <c r="E62" s="2"/>
    </row>
    <row r="63" ht="14.25" customHeight="1">
      <c r="A63" s="2"/>
      <c r="C63" s="2"/>
      <c r="E63" s="2"/>
    </row>
    <row r="64" ht="14.25" customHeight="1">
      <c r="A64" s="2"/>
      <c r="C64" s="2"/>
      <c r="E64" s="2"/>
    </row>
    <row r="65" ht="14.25" customHeight="1">
      <c r="A65" s="2"/>
      <c r="C65" s="2"/>
      <c r="E65" s="2"/>
    </row>
    <row r="66" ht="14.25" customHeight="1">
      <c r="A66" s="2"/>
      <c r="C66" s="2"/>
      <c r="E66" s="2"/>
    </row>
    <row r="67" ht="14.25" customHeight="1">
      <c r="A67" s="2"/>
      <c r="C67" s="2"/>
      <c r="E67" s="2"/>
    </row>
    <row r="68" ht="14.25" customHeight="1">
      <c r="A68" s="2"/>
      <c r="C68" s="2"/>
      <c r="E68" s="2"/>
    </row>
    <row r="69" ht="14.25" customHeight="1">
      <c r="A69" s="2"/>
      <c r="C69" s="2"/>
      <c r="E69" s="2"/>
    </row>
    <row r="70" ht="14.25" customHeight="1">
      <c r="A70" s="2"/>
      <c r="C70" s="2"/>
      <c r="E70" s="2"/>
    </row>
    <row r="71" ht="14.25" customHeight="1">
      <c r="A71" s="2"/>
      <c r="C71" s="2"/>
      <c r="E71" s="2"/>
    </row>
    <row r="72" ht="14.25" customHeight="1">
      <c r="A72" s="2"/>
      <c r="C72" s="2"/>
      <c r="E72" s="2"/>
    </row>
    <row r="73" ht="14.25" customHeight="1">
      <c r="A73" s="2"/>
      <c r="C73" s="2"/>
      <c r="E73" s="2"/>
    </row>
    <row r="74" ht="14.25" customHeight="1">
      <c r="A74" s="2"/>
      <c r="C74" s="2"/>
      <c r="E74" s="2"/>
    </row>
    <row r="75" ht="14.25" customHeight="1">
      <c r="A75" s="2"/>
      <c r="C75" s="2"/>
      <c r="E75" s="2"/>
    </row>
    <row r="76" ht="14.25" customHeight="1">
      <c r="A76" s="2"/>
      <c r="C76" s="2"/>
      <c r="E76" s="2"/>
    </row>
    <row r="77" ht="14.25" customHeight="1">
      <c r="A77" s="2"/>
      <c r="C77" s="2"/>
      <c r="E77" s="2"/>
    </row>
    <row r="78" ht="14.25" customHeight="1">
      <c r="A78" s="2"/>
      <c r="C78" s="2"/>
      <c r="E78" s="2"/>
    </row>
    <row r="79" ht="14.25" customHeight="1">
      <c r="A79" s="2"/>
      <c r="C79" s="2"/>
      <c r="E79" s="2"/>
    </row>
    <row r="80" ht="14.25" customHeight="1">
      <c r="A80" s="2"/>
      <c r="C80" s="2"/>
      <c r="E80" s="2"/>
    </row>
    <row r="81" ht="14.25" customHeight="1">
      <c r="A81" s="2"/>
      <c r="C81" s="2"/>
      <c r="E81" s="2"/>
    </row>
    <row r="82" ht="14.25" customHeight="1">
      <c r="A82" s="2"/>
      <c r="C82" s="2"/>
      <c r="E82" s="2"/>
    </row>
    <row r="83" ht="14.25" customHeight="1">
      <c r="A83" s="2"/>
      <c r="C83" s="2"/>
      <c r="E83" s="2"/>
    </row>
    <row r="84" ht="14.25" customHeight="1">
      <c r="A84" s="2"/>
      <c r="C84" s="2"/>
      <c r="E84" s="2"/>
    </row>
    <row r="85" ht="14.25" customHeight="1">
      <c r="A85" s="2"/>
      <c r="C85" s="2"/>
      <c r="E85" s="2"/>
    </row>
    <row r="86" ht="14.25" customHeight="1">
      <c r="A86" s="2"/>
      <c r="C86" s="2"/>
      <c r="E86" s="2"/>
    </row>
    <row r="87" ht="14.25" customHeight="1">
      <c r="A87" s="2"/>
      <c r="C87" s="2"/>
      <c r="E87" s="2"/>
    </row>
    <row r="88" ht="14.25" customHeight="1">
      <c r="A88" s="2"/>
      <c r="C88" s="2"/>
      <c r="E88" s="2"/>
    </row>
    <row r="89" ht="14.25" customHeight="1">
      <c r="A89" s="2"/>
      <c r="C89" s="2"/>
      <c r="E89" s="2"/>
    </row>
    <row r="90" ht="14.25" customHeight="1">
      <c r="A90" s="2"/>
      <c r="C90" s="2"/>
      <c r="E90" s="2"/>
    </row>
    <row r="91" ht="14.25" customHeight="1">
      <c r="A91" s="2"/>
      <c r="C91" s="2"/>
      <c r="E91" s="2"/>
    </row>
    <row r="92" ht="14.25" customHeight="1">
      <c r="A92" s="2"/>
      <c r="C92" s="2"/>
      <c r="E92" s="2"/>
    </row>
    <row r="93" ht="14.25" customHeight="1">
      <c r="A93" s="2"/>
      <c r="C93" s="2"/>
      <c r="E93" s="2"/>
    </row>
    <row r="94" ht="14.25" customHeight="1">
      <c r="A94" s="2"/>
      <c r="C94" s="2"/>
      <c r="E94" s="2"/>
    </row>
    <row r="95" ht="14.25" customHeight="1">
      <c r="A95" s="2"/>
      <c r="C95" s="2"/>
      <c r="E95" s="2"/>
    </row>
    <row r="96" ht="14.25" customHeight="1">
      <c r="A96" s="2"/>
      <c r="C96" s="2"/>
      <c r="E96" s="2"/>
    </row>
    <row r="97" ht="14.25" customHeight="1">
      <c r="A97" s="2"/>
      <c r="C97" s="2"/>
      <c r="E97" s="2"/>
    </row>
    <row r="98" ht="14.25" customHeight="1">
      <c r="A98" s="2"/>
      <c r="C98" s="2"/>
      <c r="E98" s="2"/>
    </row>
    <row r="99" ht="14.25" customHeight="1">
      <c r="A99" s="2"/>
      <c r="C99" s="2"/>
      <c r="E99" s="2"/>
    </row>
    <row r="100" ht="14.25" customHeight="1">
      <c r="A100" s="2"/>
      <c r="C100" s="2"/>
      <c r="E100" s="2"/>
    </row>
  </sheetData>
  <mergeCells count="1">
    <mergeCell ref="A1:E1"/>
  </mergeCells>
  <printOptions/>
  <pageMargins bottom="1.0" footer="0.0" header="0.0" left="0.75" right="0.75" top="1.0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12.0"/>
    <col customWidth="1" min="2" max="2" width="9.0"/>
    <col customWidth="1" min="3" max="3" width="20.0"/>
    <col customWidth="1" min="4" max="4" width="12.0"/>
    <col customWidth="1" min="5" max="5" width="11.0"/>
    <col customWidth="1" min="6" max="6" width="15.0"/>
    <col customWidth="1" min="7" max="7" width="20.0"/>
    <col customWidth="1" min="8" max="9" width="16.0"/>
    <col customWidth="1" min="10" max="10" width="13.0"/>
    <col customWidth="1" min="11" max="11" width="8.57"/>
  </cols>
  <sheetData>
    <row r="1" ht="18.0" customHeight="1">
      <c r="A1" s="1" t="s">
        <v>40</v>
      </c>
      <c r="B1" s="2"/>
      <c r="C1" s="2"/>
      <c r="D1" s="2"/>
      <c r="E1" s="2"/>
      <c r="F1" s="2"/>
      <c r="G1" s="2"/>
      <c r="H1" s="2"/>
      <c r="I1" s="2"/>
      <c r="J1" s="2"/>
    </row>
    <row r="2" ht="25.5" customHeight="1">
      <c r="A2" s="9" t="s">
        <v>41</v>
      </c>
      <c r="B2" s="2"/>
      <c r="C2" s="2"/>
      <c r="D2" s="2"/>
      <c r="E2" s="2"/>
      <c r="F2" s="2"/>
      <c r="G2" s="2"/>
      <c r="H2" s="2"/>
      <c r="I2" s="2"/>
      <c r="J2" s="2"/>
    </row>
    <row r="3" ht="21.75" customHeight="1">
      <c r="A3" s="10" t="s">
        <v>42</v>
      </c>
      <c r="B3" s="2"/>
      <c r="C3" s="2"/>
      <c r="D3" s="2"/>
      <c r="E3" s="2"/>
      <c r="F3" s="2"/>
      <c r="G3" s="2"/>
      <c r="H3" s="2"/>
      <c r="I3" s="2"/>
      <c r="J3" s="2"/>
    </row>
    <row r="4" ht="30.0" customHeight="1">
      <c r="A4" s="7" t="s">
        <v>43</v>
      </c>
      <c r="B4" s="7" t="s">
        <v>44</v>
      </c>
      <c r="C4" s="7" t="s">
        <v>45</v>
      </c>
      <c r="D4" s="7" t="s">
        <v>46</v>
      </c>
      <c r="E4" s="7" t="s">
        <v>47</v>
      </c>
      <c r="F4" s="7" t="s">
        <v>48</v>
      </c>
      <c r="G4" s="7" t="s">
        <v>49</v>
      </c>
      <c r="H4" s="7" t="s">
        <v>50</v>
      </c>
      <c r="I4" s="7" t="s">
        <v>51</v>
      </c>
      <c r="J4" s="7" t="s">
        <v>52</v>
      </c>
    </row>
    <row r="5" ht="15.0" customHeight="1">
      <c r="A5" s="11" t="s">
        <v>53</v>
      </c>
      <c r="B5" s="11" t="s">
        <v>54</v>
      </c>
      <c r="C5" s="11" t="s">
        <v>27</v>
      </c>
      <c r="D5" s="11" t="s">
        <v>55</v>
      </c>
      <c r="E5" s="11" t="s">
        <v>56</v>
      </c>
      <c r="F5" s="12" t="str">
        <f t="shared" ref="F5:F625" si="1">IF(OR(D5="",E5=""),"",(MOD(E5-D5,1))*1440)</f>
        <v>120</v>
      </c>
      <c r="G5" s="11" t="s">
        <v>23</v>
      </c>
      <c r="H5" s="13"/>
      <c r="I5" s="14" t="str">
        <f t="shared" ref="I5:I631" si="2">IF(OR(A5="",D5=""),"",IF(D5&lt;TIME(6,0,0),A5-1,A5))</f>
        <v>11/06</v>
      </c>
      <c r="J5" s="15" t="str">
        <f t="shared" ref="J5:J631" si="3">IF(D5="","",IF(D5&lt;TIME(6,0,0),"Nuit",IF(D5&lt;TIME(14,0,0),"Matin",IF(D5&lt;TIME(22,0,0),"Après-midi","Nuit"))))</f>
        <v>Nuit</v>
      </c>
    </row>
    <row r="6" ht="15.0" customHeight="1">
      <c r="A6" s="11" t="s">
        <v>53</v>
      </c>
      <c r="B6" s="11" t="s">
        <v>54</v>
      </c>
      <c r="C6" s="11" t="s">
        <v>27</v>
      </c>
      <c r="D6" s="11" t="s">
        <v>57</v>
      </c>
      <c r="E6" s="11" t="s">
        <v>58</v>
      </c>
      <c r="F6" s="12" t="str">
        <f t="shared" si="1"/>
        <v>45</v>
      </c>
      <c r="G6" s="11" t="s">
        <v>23</v>
      </c>
      <c r="H6" s="12" t="str">
        <f t="shared" ref="H6:H625" si="4">IF(OR(D6="",E5="",C6&lt;&gt;C5,B6=B5),"",(MOD(D6-E5,1))*1440)</f>
        <v/>
      </c>
      <c r="I6" s="14" t="str">
        <f t="shared" si="2"/>
        <v>11/06</v>
      </c>
      <c r="J6" s="15" t="str">
        <f t="shared" si="3"/>
        <v>Nuit</v>
      </c>
    </row>
    <row r="7" ht="15.0" customHeight="1">
      <c r="A7" s="11" t="s">
        <v>53</v>
      </c>
      <c r="B7" s="11" t="s">
        <v>54</v>
      </c>
      <c r="C7" s="11" t="s">
        <v>27</v>
      </c>
      <c r="D7" s="11" t="s">
        <v>58</v>
      </c>
      <c r="E7" s="11" t="s">
        <v>59</v>
      </c>
      <c r="F7" s="12" t="str">
        <f t="shared" si="1"/>
        <v>30</v>
      </c>
      <c r="G7" s="11" t="s">
        <v>38</v>
      </c>
      <c r="H7" s="12" t="str">
        <f t="shared" si="4"/>
        <v/>
      </c>
      <c r="I7" s="14" t="str">
        <f t="shared" si="2"/>
        <v>11/06</v>
      </c>
      <c r="J7" s="15" t="str">
        <f t="shared" si="3"/>
        <v>Nuit</v>
      </c>
    </row>
    <row r="8" ht="15.0" customHeight="1">
      <c r="A8" s="11" t="s">
        <v>53</v>
      </c>
      <c r="B8" s="11" t="s">
        <v>54</v>
      </c>
      <c r="C8" s="11" t="s">
        <v>27</v>
      </c>
      <c r="D8" s="11" t="s">
        <v>59</v>
      </c>
      <c r="E8" s="11" t="s">
        <v>60</v>
      </c>
      <c r="F8" s="12" t="str">
        <f t="shared" si="1"/>
        <v>90</v>
      </c>
      <c r="G8" s="11" t="s">
        <v>26</v>
      </c>
      <c r="H8" s="12" t="str">
        <f t="shared" si="4"/>
        <v/>
      </c>
      <c r="I8" s="14" t="str">
        <f t="shared" si="2"/>
        <v>11/06</v>
      </c>
      <c r="J8" s="15" t="str">
        <f t="shared" si="3"/>
        <v>Nuit</v>
      </c>
    </row>
    <row r="9" ht="15.0" customHeight="1">
      <c r="A9" s="11" t="s">
        <v>53</v>
      </c>
      <c r="B9" s="11" t="s">
        <v>54</v>
      </c>
      <c r="C9" s="11" t="s">
        <v>27</v>
      </c>
      <c r="D9" s="11" t="s">
        <v>61</v>
      </c>
      <c r="E9" s="11" t="s">
        <v>62</v>
      </c>
      <c r="F9" s="12" t="str">
        <f t="shared" si="1"/>
        <v>145</v>
      </c>
      <c r="G9" s="11" t="s">
        <v>23</v>
      </c>
      <c r="H9" s="12" t="str">
        <f t="shared" si="4"/>
        <v/>
      </c>
      <c r="I9" s="14" t="str">
        <f t="shared" si="2"/>
        <v>11/06</v>
      </c>
      <c r="J9" s="15" t="str">
        <f t="shared" si="3"/>
        <v>Nuit</v>
      </c>
    </row>
    <row r="10" ht="15.0" customHeight="1">
      <c r="A10" s="11" t="s">
        <v>53</v>
      </c>
      <c r="B10" s="11" t="s">
        <v>54</v>
      </c>
      <c r="C10" s="11" t="s">
        <v>27</v>
      </c>
      <c r="D10" s="11" t="s">
        <v>62</v>
      </c>
      <c r="E10" s="11" t="s">
        <v>63</v>
      </c>
      <c r="F10" s="12" t="str">
        <f t="shared" si="1"/>
        <v>20</v>
      </c>
      <c r="G10" s="11" t="s">
        <v>35</v>
      </c>
      <c r="H10" s="12" t="str">
        <f t="shared" si="4"/>
        <v/>
      </c>
      <c r="I10" s="14" t="str">
        <f t="shared" si="2"/>
        <v>11/06</v>
      </c>
      <c r="J10" s="15" t="str">
        <f t="shared" si="3"/>
        <v>Nuit</v>
      </c>
    </row>
    <row r="11" ht="15.0" customHeight="1">
      <c r="A11" s="2"/>
      <c r="B11" s="2"/>
      <c r="C11" s="2"/>
      <c r="D11" s="2"/>
      <c r="E11" s="2"/>
      <c r="F11" s="12" t="str">
        <f t="shared" si="1"/>
        <v/>
      </c>
      <c r="G11" s="16" t="s">
        <v>64</v>
      </c>
      <c r="H11" s="12" t="str">
        <f t="shared" si="4"/>
        <v/>
      </c>
      <c r="I11" s="14" t="str">
        <f t="shared" si="2"/>
        <v/>
      </c>
      <c r="J11" s="15" t="str">
        <f t="shared" si="3"/>
        <v/>
      </c>
    </row>
    <row r="12" ht="15.0" customHeight="1">
      <c r="A12" s="17">
        <v>46147.0</v>
      </c>
      <c r="B12" s="18" t="s">
        <v>54</v>
      </c>
      <c r="C12" s="18" t="s">
        <v>27</v>
      </c>
      <c r="D12" s="19">
        <v>0.583333333333333</v>
      </c>
      <c r="E12" s="19">
        <v>0.60625</v>
      </c>
      <c r="F12" s="12" t="str">
        <f t="shared" si="1"/>
        <v>33</v>
      </c>
      <c r="G12" s="18" t="s">
        <v>35</v>
      </c>
      <c r="H12" s="12" t="str">
        <f t="shared" si="4"/>
        <v/>
      </c>
      <c r="I12" s="14" t="str">
        <f t="shared" si="2"/>
        <v>05/05</v>
      </c>
      <c r="J12" s="15" t="str">
        <f t="shared" si="3"/>
        <v>Après-midi</v>
      </c>
    </row>
    <row r="13" ht="15.0" customHeight="1">
      <c r="A13" s="17">
        <v>46147.0</v>
      </c>
      <c r="B13" s="18" t="s">
        <v>54</v>
      </c>
      <c r="C13" s="18" t="s">
        <v>27</v>
      </c>
      <c r="D13" s="19">
        <v>0.60625</v>
      </c>
      <c r="E13" s="19">
        <v>0.672916666666667</v>
      </c>
      <c r="F13" s="12" t="str">
        <f t="shared" si="1"/>
        <v>96</v>
      </c>
      <c r="G13" s="18" t="s">
        <v>23</v>
      </c>
      <c r="H13" s="12" t="str">
        <f t="shared" si="4"/>
        <v/>
      </c>
      <c r="I13" s="14" t="str">
        <f t="shared" si="2"/>
        <v>05/05</v>
      </c>
      <c r="J13" s="15" t="str">
        <f t="shared" si="3"/>
        <v>Après-midi</v>
      </c>
    </row>
    <row r="14" ht="15.0" customHeight="1">
      <c r="A14" s="17">
        <v>46147.0</v>
      </c>
      <c r="B14" s="18" t="s">
        <v>54</v>
      </c>
      <c r="C14" s="18" t="s">
        <v>27</v>
      </c>
      <c r="D14" s="19">
        <v>0.689583333333333</v>
      </c>
      <c r="E14" s="19">
        <v>0.8125</v>
      </c>
      <c r="F14" s="12" t="str">
        <f t="shared" si="1"/>
        <v>177</v>
      </c>
      <c r="G14" s="18" t="s">
        <v>23</v>
      </c>
      <c r="H14" s="12" t="str">
        <f t="shared" si="4"/>
        <v/>
      </c>
      <c r="I14" s="14" t="str">
        <f t="shared" si="2"/>
        <v>05/05</v>
      </c>
      <c r="J14" s="15" t="str">
        <f t="shared" si="3"/>
        <v>Après-midi</v>
      </c>
    </row>
    <row r="15" ht="15.0" customHeight="1">
      <c r="A15" s="17">
        <v>46147.0</v>
      </c>
      <c r="B15" s="18" t="s">
        <v>54</v>
      </c>
      <c r="C15" s="18" t="s">
        <v>27</v>
      </c>
      <c r="D15" s="19">
        <v>0.819444444444444</v>
      </c>
      <c r="E15" s="19">
        <v>0.916666666666667</v>
      </c>
      <c r="F15" s="12" t="str">
        <f t="shared" si="1"/>
        <v>140</v>
      </c>
      <c r="G15" s="18" t="s">
        <v>23</v>
      </c>
      <c r="H15" s="12" t="str">
        <f t="shared" si="4"/>
        <v/>
      </c>
      <c r="I15" s="14" t="str">
        <f t="shared" si="2"/>
        <v>05/05</v>
      </c>
      <c r="J15" s="15" t="str">
        <f t="shared" si="3"/>
        <v>Après-midi</v>
      </c>
    </row>
    <row r="16" ht="15.0" customHeight="1">
      <c r="A16" s="17">
        <v>46147.0</v>
      </c>
      <c r="B16" s="18" t="s">
        <v>54</v>
      </c>
      <c r="C16" s="18" t="s">
        <v>27</v>
      </c>
      <c r="D16" s="19">
        <v>0.927083333333333</v>
      </c>
      <c r="E16" s="19">
        <v>0.999305555555556</v>
      </c>
      <c r="F16" s="12" t="str">
        <f t="shared" si="1"/>
        <v>104</v>
      </c>
      <c r="G16" s="18" t="s">
        <v>23</v>
      </c>
      <c r="H16" s="12" t="str">
        <f t="shared" si="4"/>
        <v/>
      </c>
      <c r="I16" s="14" t="str">
        <f t="shared" si="2"/>
        <v>05/05</v>
      </c>
      <c r="J16" s="15" t="str">
        <f t="shared" si="3"/>
        <v>Nuit</v>
      </c>
    </row>
    <row r="17" ht="15.0" customHeight="1">
      <c r="A17" s="17">
        <v>46148.0</v>
      </c>
      <c r="B17" s="18" t="s">
        <v>54</v>
      </c>
      <c r="C17" s="18" t="s">
        <v>27</v>
      </c>
      <c r="D17" s="19">
        <v>0.00902777777777778</v>
      </c>
      <c r="E17" s="19">
        <v>0.0138888888888889</v>
      </c>
      <c r="F17" s="12" t="str">
        <f t="shared" si="1"/>
        <v>7</v>
      </c>
      <c r="G17" s="18" t="s">
        <v>65</v>
      </c>
      <c r="H17" s="12" t="str">
        <f t="shared" si="4"/>
        <v/>
      </c>
      <c r="I17" s="14" t="str">
        <f t="shared" si="2"/>
        <v>05/05</v>
      </c>
      <c r="J17" s="15" t="str">
        <f t="shared" si="3"/>
        <v>Nuit</v>
      </c>
    </row>
    <row r="18" ht="15.0" customHeight="1">
      <c r="A18" s="17">
        <v>46148.0</v>
      </c>
      <c r="B18" s="18" t="s">
        <v>54</v>
      </c>
      <c r="C18" s="18" t="s">
        <v>27</v>
      </c>
      <c r="D18" s="19">
        <v>0.0180555555555556</v>
      </c>
      <c r="E18" s="19">
        <v>0.161111111111111</v>
      </c>
      <c r="F18" s="12" t="str">
        <f t="shared" si="1"/>
        <v>206</v>
      </c>
      <c r="G18" s="18" t="s">
        <v>23</v>
      </c>
      <c r="H18" s="12" t="str">
        <f t="shared" si="4"/>
        <v/>
      </c>
      <c r="I18" s="14" t="str">
        <f t="shared" si="2"/>
        <v>05/05</v>
      </c>
      <c r="J18" s="15" t="str">
        <f t="shared" si="3"/>
        <v>Nuit</v>
      </c>
    </row>
    <row r="19" ht="15.0" customHeight="1">
      <c r="A19" s="17">
        <v>46148.0</v>
      </c>
      <c r="B19" s="18" t="s">
        <v>54</v>
      </c>
      <c r="C19" s="18" t="s">
        <v>27</v>
      </c>
      <c r="D19" s="19">
        <v>0.16875</v>
      </c>
      <c r="E19" s="19">
        <v>0.240277777777778</v>
      </c>
      <c r="F19" s="12" t="str">
        <f t="shared" si="1"/>
        <v>103</v>
      </c>
      <c r="G19" s="18" t="s">
        <v>23</v>
      </c>
      <c r="H19" s="12" t="str">
        <f t="shared" si="4"/>
        <v/>
      </c>
      <c r="I19" s="14" t="str">
        <f t="shared" si="2"/>
        <v>05/05</v>
      </c>
      <c r="J19" s="15" t="str">
        <f t="shared" si="3"/>
        <v>Nuit</v>
      </c>
    </row>
    <row r="20" ht="15.0" customHeight="1">
      <c r="A20" s="17">
        <v>46148.0</v>
      </c>
      <c r="B20" s="18" t="s">
        <v>66</v>
      </c>
      <c r="C20" s="18" t="s">
        <v>27</v>
      </c>
      <c r="D20" s="19">
        <v>0.25</v>
      </c>
      <c r="E20" s="19">
        <v>0.340277777777778</v>
      </c>
      <c r="F20" s="12" t="str">
        <f t="shared" si="1"/>
        <v>130</v>
      </c>
      <c r="G20" s="18" t="s">
        <v>23</v>
      </c>
      <c r="H20" s="12" t="str">
        <f t="shared" si="4"/>
        <v>14</v>
      </c>
      <c r="I20" s="14" t="str">
        <f t="shared" si="2"/>
        <v>06/05</v>
      </c>
      <c r="J20" s="15" t="str">
        <f t="shared" si="3"/>
        <v>Matin</v>
      </c>
    </row>
    <row r="21" ht="15.0" customHeight="1">
      <c r="A21" s="17">
        <v>46148.0</v>
      </c>
      <c r="B21" s="18" t="s">
        <v>66</v>
      </c>
      <c r="C21" s="18" t="s">
        <v>27</v>
      </c>
      <c r="D21" s="19">
        <v>0.353472222222222</v>
      </c>
      <c r="E21" s="19">
        <v>0.498611111111111</v>
      </c>
      <c r="F21" s="12" t="str">
        <f t="shared" si="1"/>
        <v>209</v>
      </c>
      <c r="G21" s="18" t="s">
        <v>23</v>
      </c>
      <c r="H21" s="12" t="str">
        <f t="shared" si="4"/>
        <v/>
      </c>
      <c r="I21" s="14" t="str">
        <f t="shared" si="2"/>
        <v>06/05</v>
      </c>
      <c r="J21" s="15" t="str">
        <f t="shared" si="3"/>
        <v>Matin</v>
      </c>
    </row>
    <row r="22" ht="15.0" customHeight="1">
      <c r="A22" s="17">
        <v>46148.0</v>
      </c>
      <c r="B22" s="18" t="s">
        <v>66</v>
      </c>
      <c r="C22" s="18" t="s">
        <v>27</v>
      </c>
      <c r="D22" s="19">
        <v>0.505555555555556</v>
      </c>
      <c r="E22" s="19">
        <v>0.583333333333333</v>
      </c>
      <c r="F22" s="12" t="str">
        <f t="shared" si="1"/>
        <v>112</v>
      </c>
      <c r="G22" s="18" t="s">
        <v>23</v>
      </c>
      <c r="H22" s="12" t="str">
        <f t="shared" si="4"/>
        <v/>
      </c>
      <c r="I22" s="14" t="str">
        <f t="shared" si="2"/>
        <v>06/05</v>
      </c>
      <c r="J22" s="15" t="str">
        <f t="shared" si="3"/>
        <v>Matin</v>
      </c>
    </row>
    <row r="23" ht="15.0" customHeight="1">
      <c r="A23" s="17">
        <v>46148.0</v>
      </c>
      <c r="B23" s="18" t="s">
        <v>54</v>
      </c>
      <c r="C23" s="18" t="s">
        <v>27</v>
      </c>
      <c r="D23" s="19">
        <v>0.588194444444445</v>
      </c>
      <c r="E23" s="19">
        <v>0.635416666666667</v>
      </c>
      <c r="F23" s="12" t="str">
        <f t="shared" si="1"/>
        <v>68</v>
      </c>
      <c r="G23" s="18" t="s">
        <v>35</v>
      </c>
      <c r="H23" s="12" t="str">
        <f t="shared" si="4"/>
        <v>7</v>
      </c>
      <c r="I23" s="14" t="str">
        <f t="shared" si="2"/>
        <v>06/05</v>
      </c>
      <c r="J23" s="15" t="str">
        <f t="shared" si="3"/>
        <v>Après-midi</v>
      </c>
    </row>
    <row r="24" ht="15.0" customHeight="1">
      <c r="A24" s="17">
        <v>46148.0</v>
      </c>
      <c r="B24" s="18" t="s">
        <v>54</v>
      </c>
      <c r="C24" s="18" t="s">
        <v>27</v>
      </c>
      <c r="D24" s="19">
        <v>0.642361111111111</v>
      </c>
      <c r="E24" s="19">
        <v>0.770833333333333</v>
      </c>
      <c r="F24" s="12" t="str">
        <f t="shared" si="1"/>
        <v>185</v>
      </c>
      <c r="G24" s="18" t="s">
        <v>23</v>
      </c>
      <c r="H24" s="12" t="str">
        <f t="shared" si="4"/>
        <v/>
      </c>
      <c r="I24" s="14" t="str">
        <f t="shared" si="2"/>
        <v>06/05</v>
      </c>
      <c r="J24" s="15" t="str">
        <f t="shared" si="3"/>
        <v>Après-midi</v>
      </c>
    </row>
    <row r="25" ht="15.0" customHeight="1">
      <c r="A25" s="17">
        <v>46148.0</v>
      </c>
      <c r="B25" s="18" t="s">
        <v>54</v>
      </c>
      <c r="C25" s="18" t="s">
        <v>27</v>
      </c>
      <c r="D25" s="19">
        <v>0.774305555555556</v>
      </c>
      <c r="E25" s="19">
        <v>0.916666666666667</v>
      </c>
      <c r="F25" s="12" t="str">
        <f t="shared" si="1"/>
        <v>205</v>
      </c>
      <c r="G25" s="18" t="s">
        <v>23</v>
      </c>
      <c r="H25" s="12" t="str">
        <f t="shared" si="4"/>
        <v/>
      </c>
      <c r="I25" s="14" t="str">
        <f t="shared" si="2"/>
        <v>06/05</v>
      </c>
      <c r="J25" s="15" t="str">
        <f t="shared" si="3"/>
        <v>Après-midi</v>
      </c>
    </row>
    <row r="26" ht="15.0" customHeight="1">
      <c r="A26" s="20">
        <v>46148.0</v>
      </c>
      <c r="B26" s="21" t="s">
        <v>67</v>
      </c>
      <c r="C26" s="21" t="s">
        <v>27</v>
      </c>
      <c r="D26" s="22">
        <v>0.928472222222222</v>
      </c>
      <c r="E26" s="22">
        <v>0.0256944444444444</v>
      </c>
      <c r="F26" s="23" t="str">
        <f t="shared" si="1"/>
        <v>140</v>
      </c>
      <c r="G26" s="21" t="s">
        <v>23</v>
      </c>
      <c r="H26" s="12" t="str">
        <f t="shared" si="4"/>
        <v>17</v>
      </c>
      <c r="I26" s="14" t="str">
        <f t="shared" si="2"/>
        <v>06/05</v>
      </c>
      <c r="J26" s="15" t="str">
        <f t="shared" si="3"/>
        <v>Nuit</v>
      </c>
      <c r="K26" s="24"/>
    </row>
    <row r="27" ht="15.0" customHeight="1">
      <c r="A27" s="17">
        <v>46149.0</v>
      </c>
      <c r="B27" s="18" t="s">
        <v>67</v>
      </c>
      <c r="C27" s="18" t="s">
        <v>27</v>
      </c>
      <c r="D27" s="19">
        <v>0.0444444444444445</v>
      </c>
      <c r="E27" s="19">
        <v>0.147916666666667</v>
      </c>
      <c r="F27" s="12" t="str">
        <f t="shared" si="1"/>
        <v>149</v>
      </c>
      <c r="G27" s="18" t="s">
        <v>23</v>
      </c>
      <c r="H27" s="12" t="str">
        <f t="shared" si="4"/>
        <v/>
      </c>
      <c r="I27" s="14" t="str">
        <f t="shared" si="2"/>
        <v>06/05</v>
      </c>
      <c r="J27" s="15" t="str">
        <f t="shared" si="3"/>
        <v>Nuit</v>
      </c>
    </row>
    <row r="28" ht="15.0" customHeight="1">
      <c r="A28" s="17">
        <v>46149.0</v>
      </c>
      <c r="B28" s="18" t="s">
        <v>67</v>
      </c>
      <c r="C28" s="18" t="s">
        <v>27</v>
      </c>
      <c r="D28" s="19">
        <v>0.152777777777778</v>
      </c>
      <c r="E28" s="19">
        <v>0.246527777777778</v>
      </c>
      <c r="F28" s="12" t="str">
        <f t="shared" si="1"/>
        <v>135</v>
      </c>
      <c r="G28" s="18" t="s">
        <v>23</v>
      </c>
      <c r="H28" s="12" t="str">
        <f t="shared" si="4"/>
        <v/>
      </c>
      <c r="I28" s="14" t="str">
        <f t="shared" si="2"/>
        <v>06/05</v>
      </c>
      <c r="J28" s="15" t="str">
        <f t="shared" si="3"/>
        <v>Nuit</v>
      </c>
    </row>
    <row r="29" ht="15.0" customHeight="1">
      <c r="A29" s="17">
        <v>46149.0</v>
      </c>
      <c r="B29" s="18" t="s">
        <v>66</v>
      </c>
      <c r="C29" s="18" t="s">
        <v>27</v>
      </c>
      <c r="D29" s="19">
        <v>0.25</v>
      </c>
      <c r="E29" s="19">
        <v>0.364583333333333</v>
      </c>
      <c r="F29" s="12" t="str">
        <f t="shared" si="1"/>
        <v>165</v>
      </c>
      <c r="G29" s="18" t="s">
        <v>23</v>
      </c>
      <c r="H29" s="12" t="str">
        <f t="shared" si="4"/>
        <v>5</v>
      </c>
      <c r="I29" s="14" t="str">
        <f t="shared" si="2"/>
        <v>07/05</v>
      </c>
      <c r="J29" s="15" t="str">
        <f t="shared" si="3"/>
        <v>Matin</v>
      </c>
    </row>
    <row r="30" ht="15.0" customHeight="1">
      <c r="A30" s="17">
        <v>46149.0</v>
      </c>
      <c r="B30" s="18" t="s">
        <v>66</v>
      </c>
      <c r="C30" s="18" t="s">
        <v>27</v>
      </c>
      <c r="D30" s="19">
        <v>0.375</v>
      </c>
      <c r="E30" s="19">
        <v>0.452083333333333</v>
      </c>
      <c r="F30" s="12" t="str">
        <f t="shared" si="1"/>
        <v>111</v>
      </c>
      <c r="G30" s="18" t="s">
        <v>65</v>
      </c>
      <c r="H30" s="12" t="str">
        <f t="shared" si="4"/>
        <v/>
      </c>
      <c r="I30" s="14" t="str">
        <f t="shared" si="2"/>
        <v>07/05</v>
      </c>
      <c r="J30" s="15" t="str">
        <f t="shared" si="3"/>
        <v>Matin</v>
      </c>
    </row>
    <row r="31" ht="15.0" customHeight="1">
      <c r="A31" s="17">
        <v>46149.0</v>
      </c>
      <c r="B31" s="18" t="s">
        <v>66</v>
      </c>
      <c r="C31" s="18" t="s">
        <v>27</v>
      </c>
      <c r="D31" s="19">
        <v>0.461805555555556</v>
      </c>
      <c r="E31" s="19">
        <v>0.540277777777778</v>
      </c>
      <c r="F31" s="12" t="str">
        <f t="shared" si="1"/>
        <v>113</v>
      </c>
      <c r="G31" s="18" t="s">
        <v>65</v>
      </c>
      <c r="H31" s="12" t="str">
        <f t="shared" si="4"/>
        <v/>
      </c>
      <c r="I31" s="14" t="str">
        <f t="shared" si="2"/>
        <v>07/05</v>
      </c>
      <c r="J31" s="15" t="str">
        <f t="shared" si="3"/>
        <v>Matin</v>
      </c>
    </row>
    <row r="32" ht="15.0" customHeight="1">
      <c r="A32" s="17">
        <v>46149.0</v>
      </c>
      <c r="B32" s="18" t="s">
        <v>66</v>
      </c>
      <c r="C32" s="18" t="s">
        <v>27</v>
      </c>
      <c r="D32" s="19">
        <v>0.549305555555556</v>
      </c>
      <c r="E32" s="19">
        <v>0.583333333333333</v>
      </c>
      <c r="F32" s="12" t="str">
        <f t="shared" si="1"/>
        <v>49</v>
      </c>
      <c r="G32" s="18" t="s">
        <v>23</v>
      </c>
      <c r="H32" s="12" t="str">
        <f t="shared" si="4"/>
        <v/>
      </c>
      <c r="I32" s="14" t="str">
        <f t="shared" si="2"/>
        <v>07/05</v>
      </c>
      <c r="J32" s="15" t="str">
        <f t="shared" si="3"/>
        <v>Matin</v>
      </c>
    </row>
    <row r="33" ht="15.0" customHeight="1">
      <c r="A33" s="17">
        <v>46149.0</v>
      </c>
      <c r="B33" s="18" t="s">
        <v>54</v>
      </c>
      <c r="C33" s="18" t="s">
        <v>27</v>
      </c>
      <c r="D33" s="19">
        <v>0.59375</v>
      </c>
      <c r="E33" s="19">
        <v>0.672916666666667</v>
      </c>
      <c r="F33" s="12" t="str">
        <f t="shared" si="1"/>
        <v>114</v>
      </c>
      <c r="G33" s="18" t="s">
        <v>23</v>
      </c>
      <c r="H33" s="12" t="str">
        <f t="shared" si="4"/>
        <v>15</v>
      </c>
      <c r="I33" s="14" t="str">
        <f t="shared" si="2"/>
        <v>07/05</v>
      </c>
      <c r="J33" s="15" t="str">
        <f t="shared" si="3"/>
        <v>Après-midi</v>
      </c>
    </row>
    <row r="34" ht="15.0" customHeight="1">
      <c r="A34" s="17">
        <v>46149.0</v>
      </c>
      <c r="B34" s="18" t="s">
        <v>54</v>
      </c>
      <c r="C34" s="18" t="s">
        <v>27</v>
      </c>
      <c r="D34" s="19">
        <v>0.685416666666667</v>
      </c>
      <c r="E34" s="19">
        <v>0.703472222222222</v>
      </c>
      <c r="F34" s="12" t="str">
        <f t="shared" si="1"/>
        <v>26</v>
      </c>
      <c r="G34" s="18" t="s">
        <v>35</v>
      </c>
      <c r="H34" s="12" t="str">
        <f t="shared" si="4"/>
        <v/>
      </c>
      <c r="I34" s="14" t="str">
        <f t="shared" si="2"/>
        <v>07/05</v>
      </c>
      <c r="J34" s="15" t="str">
        <f t="shared" si="3"/>
        <v>Après-midi</v>
      </c>
    </row>
    <row r="35" ht="15.0" customHeight="1">
      <c r="A35" s="17">
        <v>46149.0</v>
      </c>
      <c r="B35" s="18" t="s">
        <v>54</v>
      </c>
      <c r="C35" s="18" t="s">
        <v>27</v>
      </c>
      <c r="D35" s="19">
        <v>0.708333333333333</v>
      </c>
      <c r="E35" s="19">
        <v>0.850694444444444</v>
      </c>
      <c r="F35" s="12" t="str">
        <f t="shared" si="1"/>
        <v>205</v>
      </c>
      <c r="G35" s="18" t="s">
        <v>23</v>
      </c>
      <c r="H35" s="12" t="str">
        <f t="shared" si="4"/>
        <v/>
      </c>
      <c r="I35" s="14" t="str">
        <f t="shared" si="2"/>
        <v>07/05</v>
      </c>
      <c r="J35" s="15" t="str">
        <f t="shared" si="3"/>
        <v>Après-midi</v>
      </c>
    </row>
    <row r="36" ht="15.0" customHeight="1">
      <c r="A36" s="17">
        <v>46149.0</v>
      </c>
      <c r="B36" s="18" t="s">
        <v>54</v>
      </c>
      <c r="C36" s="18" t="s">
        <v>27</v>
      </c>
      <c r="D36" s="19">
        <v>0.857638888888889</v>
      </c>
      <c r="E36" s="19">
        <v>0.916666666666667</v>
      </c>
      <c r="F36" s="12" t="str">
        <f t="shared" si="1"/>
        <v>85</v>
      </c>
      <c r="G36" s="18" t="s">
        <v>23</v>
      </c>
      <c r="H36" s="12" t="str">
        <f t="shared" si="4"/>
        <v/>
      </c>
      <c r="I36" s="14" t="str">
        <f t="shared" si="2"/>
        <v>07/05</v>
      </c>
      <c r="J36" s="15" t="str">
        <f t="shared" si="3"/>
        <v>Après-midi</v>
      </c>
    </row>
    <row r="37" ht="15.0" customHeight="1">
      <c r="A37" s="20">
        <v>46149.0</v>
      </c>
      <c r="B37" s="21" t="s">
        <v>67</v>
      </c>
      <c r="C37" s="21" t="s">
        <v>27</v>
      </c>
      <c r="D37" s="22">
        <v>0.91875</v>
      </c>
      <c r="E37" s="22">
        <v>0.03125</v>
      </c>
      <c r="F37" s="23" t="str">
        <f t="shared" si="1"/>
        <v>162</v>
      </c>
      <c r="G37" s="21" t="s">
        <v>23</v>
      </c>
      <c r="H37" s="12" t="str">
        <f t="shared" si="4"/>
        <v>3</v>
      </c>
      <c r="I37" s="14" t="str">
        <f t="shared" si="2"/>
        <v>07/05</v>
      </c>
      <c r="J37" s="15" t="str">
        <f t="shared" si="3"/>
        <v>Nuit</v>
      </c>
      <c r="K37" s="24"/>
    </row>
    <row r="38" ht="15.0" customHeight="1">
      <c r="A38" s="17">
        <v>46150.0</v>
      </c>
      <c r="B38" s="18" t="s">
        <v>67</v>
      </c>
      <c r="C38" s="18" t="s">
        <v>27</v>
      </c>
      <c r="D38" s="19">
        <v>0.0416666666666667</v>
      </c>
      <c r="E38" s="19">
        <v>0.163194444444444</v>
      </c>
      <c r="F38" s="12" t="str">
        <f t="shared" si="1"/>
        <v>175</v>
      </c>
      <c r="G38" s="18" t="s">
        <v>23</v>
      </c>
      <c r="H38" s="12" t="str">
        <f t="shared" si="4"/>
        <v/>
      </c>
      <c r="I38" s="14" t="str">
        <f t="shared" si="2"/>
        <v>07/05</v>
      </c>
      <c r="J38" s="15" t="str">
        <f t="shared" si="3"/>
        <v>Nuit</v>
      </c>
    </row>
    <row r="39" ht="15.0" customHeight="1">
      <c r="A39" s="17">
        <v>46150.0</v>
      </c>
      <c r="B39" s="18" t="s">
        <v>67</v>
      </c>
      <c r="C39" s="18" t="s">
        <v>27</v>
      </c>
      <c r="D39" s="19">
        <v>0.166666666666667</v>
      </c>
      <c r="E39" s="19">
        <v>0.204861111111111</v>
      </c>
      <c r="F39" s="12" t="str">
        <f t="shared" si="1"/>
        <v>55</v>
      </c>
      <c r="G39" s="18" t="s">
        <v>23</v>
      </c>
      <c r="H39" s="12" t="str">
        <f t="shared" si="4"/>
        <v/>
      </c>
      <c r="I39" s="14" t="str">
        <f t="shared" si="2"/>
        <v>07/05</v>
      </c>
      <c r="J39" s="15" t="str">
        <f t="shared" si="3"/>
        <v>Nuit</v>
      </c>
    </row>
    <row r="40" ht="15.0" customHeight="1">
      <c r="A40" s="17">
        <v>46150.0</v>
      </c>
      <c r="B40" s="18" t="s">
        <v>67</v>
      </c>
      <c r="C40" s="18" t="s">
        <v>27</v>
      </c>
      <c r="D40" s="19">
        <v>0.208333333333333</v>
      </c>
      <c r="E40" s="19">
        <v>0.25</v>
      </c>
      <c r="F40" s="12" t="str">
        <f t="shared" si="1"/>
        <v>60</v>
      </c>
      <c r="G40" s="18" t="s">
        <v>23</v>
      </c>
      <c r="H40" s="12" t="str">
        <f t="shared" si="4"/>
        <v/>
      </c>
      <c r="I40" s="14" t="str">
        <f t="shared" si="2"/>
        <v>07/05</v>
      </c>
      <c r="J40" s="15" t="str">
        <f t="shared" si="3"/>
        <v>Nuit</v>
      </c>
    </row>
    <row r="41" ht="15.0" customHeight="1">
      <c r="A41" s="17">
        <v>46150.0</v>
      </c>
      <c r="B41" s="18" t="s">
        <v>66</v>
      </c>
      <c r="C41" s="18" t="s">
        <v>27</v>
      </c>
      <c r="D41" s="19">
        <v>0.253472222222222</v>
      </c>
      <c r="E41" s="19">
        <v>0.328472222222222</v>
      </c>
      <c r="F41" s="12" t="str">
        <f t="shared" si="1"/>
        <v>108</v>
      </c>
      <c r="G41" s="18" t="s">
        <v>65</v>
      </c>
      <c r="H41" s="12" t="str">
        <f t="shared" si="4"/>
        <v>5</v>
      </c>
      <c r="I41" s="14" t="str">
        <f t="shared" si="2"/>
        <v>08/05</v>
      </c>
      <c r="J41" s="15" t="str">
        <f t="shared" si="3"/>
        <v>Matin</v>
      </c>
    </row>
    <row r="42" ht="15.0" customHeight="1">
      <c r="A42" s="17">
        <v>46150.0</v>
      </c>
      <c r="B42" s="18" t="s">
        <v>66</v>
      </c>
      <c r="C42" s="18" t="s">
        <v>27</v>
      </c>
      <c r="D42" s="19">
        <v>0.338888888888889</v>
      </c>
      <c r="E42" s="19">
        <v>0.472222222222222</v>
      </c>
      <c r="F42" s="12" t="str">
        <f t="shared" si="1"/>
        <v>192</v>
      </c>
      <c r="G42" s="18" t="s">
        <v>23</v>
      </c>
      <c r="H42" s="12" t="str">
        <f t="shared" si="4"/>
        <v/>
      </c>
      <c r="I42" s="14" t="str">
        <f t="shared" si="2"/>
        <v>08/05</v>
      </c>
      <c r="J42" s="15" t="str">
        <f t="shared" si="3"/>
        <v>Matin</v>
      </c>
    </row>
    <row r="43" ht="15.0" customHeight="1">
      <c r="A43" s="17">
        <v>46150.0</v>
      </c>
      <c r="B43" s="18" t="s">
        <v>66</v>
      </c>
      <c r="C43" s="18" t="s">
        <v>27</v>
      </c>
      <c r="D43" s="19">
        <v>0.481944444444445</v>
      </c>
      <c r="E43" s="19">
        <v>0.504861111111111</v>
      </c>
      <c r="F43" s="12" t="str">
        <f t="shared" si="1"/>
        <v>33</v>
      </c>
      <c r="G43" s="18" t="s">
        <v>65</v>
      </c>
      <c r="H43" s="12" t="str">
        <f t="shared" si="4"/>
        <v/>
      </c>
      <c r="I43" s="14" t="str">
        <f t="shared" si="2"/>
        <v>08/05</v>
      </c>
      <c r="J43" s="15" t="str">
        <f t="shared" si="3"/>
        <v>Matin</v>
      </c>
    </row>
    <row r="44" ht="15.0" customHeight="1">
      <c r="A44" s="17">
        <v>46150.0</v>
      </c>
      <c r="B44" s="18" t="s">
        <v>66</v>
      </c>
      <c r="C44" s="18" t="s">
        <v>27</v>
      </c>
      <c r="D44" s="19">
        <v>0.528472222222222</v>
      </c>
      <c r="E44" s="19">
        <v>0.583333333333333</v>
      </c>
      <c r="F44" s="12" t="str">
        <f t="shared" si="1"/>
        <v>79</v>
      </c>
      <c r="G44" s="18" t="s">
        <v>23</v>
      </c>
      <c r="H44" s="12" t="str">
        <f t="shared" si="4"/>
        <v/>
      </c>
      <c r="I44" s="14" t="str">
        <f t="shared" si="2"/>
        <v>08/05</v>
      </c>
      <c r="J44" s="15" t="str">
        <f t="shared" si="3"/>
        <v>Matin</v>
      </c>
    </row>
    <row r="45" ht="15.0" customHeight="1">
      <c r="A45" s="17">
        <v>46150.0</v>
      </c>
      <c r="B45" s="18" t="s">
        <v>54</v>
      </c>
      <c r="C45" s="18" t="s">
        <v>27</v>
      </c>
      <c r="D45" s="19">
        <v>0.586805555555556</v>
      </c>
      <c r="E45" s="19">
        <v>0.611111111111111</v>
      </c>
      <c r="F45" s="12" t="str">
        <f t="shared" si="1"/>
        <v>35</v>
      </c>
      <c r="G45" s="18" t="s">
        <v>65</v>
      </c>
      <c r="H45" s="12" t="str">
        <f t="shared" si="4"/>
        <v>5</v>
      </c>
      <c r="I45" s="14" t="str">
        <f t="shared" si="2"/>
        <v>08/05</v>
      </c>
      <c r="J45" s="15" t="str">
        <f t="shared" si="3"/>
        <v>Après-midi</v>
      </c>
    </row>
    <row r="46" ht="15.0" customHeight="1">
      <c r="A46" s="17">
        <v>46150.0</v>
      </c>
      <c r="B46" s="18" t="s">
        <v>54</v>
      </c>
      <c r="C46" s="18" t="s">
        <v>27</v>
      </c>
      <c r="D46" s="19">
        <v>0.621527777777778</v>
      </c>
      <c r="E46" s="19">
        <v>0.666666666666667</v>
      </c>
      <c r="F46" s="12" t="str">
        <f t="shared" si="1"/>
        <v>65</v>
      </c>
      <c r="G46" s="18" t="s">
        <v>65</v>
      </c>
      <c r="H46" s="12" t="str">
        <f t="shared" si="4"/>
        <v/>
      </c>
      <c r="I46" s="14" t="str">
        <f t="shared" si="2"/>
        <v>08/05</v>
      </c>
      <c r="J46" s="15" t="str">
        <f t="shared" si="3"/>
        <v>Après-midi</v>
      </c>
    </row>
    <row r="47" ht="15.0" customHeight="1">
      <c r="A47" s="17">
        <v>46150.0</v>
      </c>
      <c r="B47" s="18" t="s">
        <v>54</v>
      </c>
      <c r="C47" s="18" t="s">
        <v>27</v>
      </c>
      <c r="D47" s="19">
        <v>0.697916666666667</v>
      </c>
      <c r="E47" s="19">
        <v>0.833333333333333</v>
      </c>
      <c r="F47" s="12" t="str">
        <f t="shared" si="1"/>
        <v>195</v>
      </c>
      <c r="G47" s="18" t="s">
        <v>23</v>
      </c>
      <c r="H47" s="12" t="str">
        <f t="shared" si="4"/>
        <v/>
      </c>
      <c r="I47" s="14" t="str">
        <f t="shared" si="2"/>
        <v>08/05</v>
      </c>
      <c r="J47" s="15" t="str">
        <f t="shared" si="3"/>
        <v>Après-midi</v>
      </c>
    </row>
    <row r="48" ht="15.0" customHeight="1">
      <c r="A48" s="17">
        <v>46150.0</v>
      </c>
      <c r="B48" s="18" t="s">
        <v>54</v>
      </c>
      <c r="C48" s="18" t="s">
        <v>27</v>
      </c>
      <c r="D48" s="19">
        <v>0.840277777777778</v>
      </c>
      <c r="E48" s="19">
        <v>0.916666666666667</v>
      </c>
      <c r="F48" s="12" t="str">
        <f t="shared" si="1"/>
        <v>110</v>
      </c>
      <c r="G48" s="18" t="s">
        <v>23</v>
      </c>
      <c r="H48" s="12" t="str">
        <f t="shared" si="4"/>
        <v/>
      </c>
      <c r="I48" s="14" t="str">
        <f t="shared" si="2"/>
        <v>08/05</v>
      </c>
      <c r="J48" s="15" t="str">
        <f t="shared" si="3"/>
        <v>Après-midi</v>
      </c>
    </row>
    <row r="49" ht="15.0" customHeight="1">
      <c r="A49" s="20">
        <v>46150.0</v>
      </c>
      <c r="B49" s="21" t="s">
        <v>54</v>
      </c>
      <c r="C49" s="21" t="s">
        <v>27</v>
      </c>
      <c r="D49" s="22">
        <v>0.920138888888889</v>
      </c>
      <c r="E49" s="22">
        <v>0.0</v>
      </c>
      <c r="F49" s="23" t="str">
        <f t="shared" si="1"/>
        <v>115</v>
      </c>
      <c r="G49" s="21" t="s">
        <v>23</v>
      </c>
      <c r="H49" s="12" t="str">
        <f t="shared" si="4"/>
        <v/>
      </c>
      <c r="I49" s="14" t="str">
        <f t="shared" si="2"/>
        <v>08/05</v>
      </c>
      <c r="J49" s="15" t="str">
        <f t="shared" si="3"/>
        <v>Nuit</v>
      </c>
      <c r="K49" s="24"/>
    </row>
    <row r="50" ht="15.0" customHeight="1">
      <c r="A50" s="17">
        <v>46151.0</v>
      </c>
      <c r="B50" s="18" t="s">
        <v>67</v>
      </c>
      <c r="C50" s="18" t="s">
        <v>27</v>
      </c>
      <c r="D50" s="19">
        <v>0.0159722222222222</v>
      </c>
      <c r="E50" s="19">
        <v>0.128472222222222</v>
      </c>
      <c r="F50" s="12" t="str">
        <f t="shared" si="1"/>
        <v>162</v>
      </c>
      <c r="G50" s="18" t="s">
        <v>23</v>
      </c>
      <c r="H50" s="12" t="str">
        <f t="shared" si="4"/>
        <v>23</v>
      </c>
      <c r="I50" s="14" t="str">
        <f t="shared" si="2"/>
        <v>08/05</v>
      </c>
      <c r="J50" s="15" t="str">
        <f t="shared" si="3"/>
        <v>Nuit</v>
      </c>
    </row>
    <row r="51" ht="15.0" customHeight="1">
      <c r="A51" s="17">
        <v>46151.0</v>
      </c>
      <c r="B51" s="18" t="s">
        <v>67</v>
      </c>
      <c r="C51" s="18" t="s">
        <v>27</v>
      </c>
      <c r="D51" s="19">
        <v>0.1375</v>
      </c>
      <c r="E51" s="19">
        <v>0.149305555555556</v>
      </c>
      <c r="F51" s="12" t="str">
        <f t="shared" si="1"/>
        <v>17</v>
      </c>
      <c r="G51" s="18" t="s">
        <v>65</v>
      </c>
      <c r="H51" s="12" t="str">
        <f t="shared" si="4"/>
        <v/>
      </c>
      <c r="I51" s="14" t="str">
        <f t="shared" si="2"/>
        <v>08/05</v>
      </c>
      <c r="J51" s="15" t="str">
        <f t="shared" si="3"/>
        <v>Nuit</v>
      </c>
    </row>
    <row r="52" ht="15.0" customHeight="1">
      <c r="A52" s="17">
        <v>46151.0</v>
      </c>
      <c r="B52" s="18" t="s">
        <v>67</v>
      </c>
      <c r="C52" s="18" t="s">
        <v>27</v>
      </c>
      <c r="D52" s="19">
        <v>0.159027777777778</v>
      </c>
      <c r="E52" s="19">
        <v>0.236111111111111</v>
      </c>
      <c r="F52" s="12" t="str">
        <f t="shared" si="1"/>
        <v>111</v>
      </c>
      <c r="G52" s="18" t="s">
        <v>26</v>
      </c>
      <c r="H52" s="12" t="str">
        <f t="shared" si="4"/>
        <v/>
      </c>
      <c r="I52" s="14" t="str">
        <f t="shared" si="2"/>
        <v>08/05</v>
      </c>
      <c r="J52" s="15" t="str">
        <f t="shared" si="3"/>
        <v>Nuit</v>
      </c>
    </row>
    <row r="53" ht="15.0" customHeight="1">
      <c r="A53" s="17">
        <v>46151.0</v>
      </c>
      <c r="B53" s="18" t="s">
        <v>67</v>
      </c>
      <c r="C53" s="18" t="s">
        <v>27</v>
      </c>
      <c r="D53" s="19">
        <v>0.240277777777778</v>
      </c>
      <c r="E53" s="19">
        <v>0.25</v>
      </c>
      <c r="F53" s="12" t="str">
        <f t="shared" si="1"/>
        <v>14</v>
      </c>
      <c r="G53" s="18" t="s">
        <v>23</v>
      </c>
      <c r="H53" s="12" t="str">
        <f t="shared" si="4"/>
        <v/>
      </c>
      <c r="I53" s="14" t="str">
        <f t="shared" si="2"/>
        <v>08/05</v>
      </c>
      <c r="J53" s="15" t="str">
        <f t="shared" si="3"/>
        <v>Nuit</v>
      </c>
    </row>
    <row r="54" ht="15.0" customHeight="1">
      <c r="A54" s="17">
        <v>46151.0</v>
      </c>
      <c r="B54" s="18" t="s">
        <v>66</v>
      </c>
      <c r="C54" s="18" t="s">
        <v>27</v>
      </c>
      <c r="D54" s="19">
        <v>0.253472222222222</v>
      </c>
      <c r="E54" s="19">
        <v>0.322916666666667</v>
      </c>
      <c r="F54" s="12" t="str">
        <f t="shared" si="1"/>
        <v>100</v>
      </c>
      <c r="G54" s="18" t="s">
        <v>23</v>
      </c>
      <c r="H54" s="12" t="str">
        <f t="shared" si="4"/>
        <v>5</v>
      </c>
      <c r="I54" s="14" t="str">
        <f t="shared" si="2"/>
        <v>09/05</v>
      </c>
      <c r="J54" s="15" t="str">
        <f t="shared" si="3"/>
        <v>Matin</v>
      </c>
    </row>
    <row r="55" ht="15.0" customHeight="1">
      <c r="A55" s="17">
        <v>46151.0</v>
      </c>
      <c r="B55" s="18" t="s">
        <v>66</v>
      </c>
      <c r="C55" s="18" t="s">
        <v>27</v>
      </c>
      <c r="D55" s="19">
        <v>0.334027777777778</v>
      </c>
      <c r="E55" s="19">
        <v>0.463888888888889</v>
      </c>
      <c r="F55" s="12" t="str">
        <f t="shared" si="1"/>
        <v>187</v>
      </c>
      <c r="G55" s="18" t="s">
        <v>23</v>
      </c>
      <c r="H55" s="12" t="str">
        <f t="shared" si="4"/>
        <v/>
      </c>
      <c r="I55" s="14" t="str">
        <f t="shared" si="2"/>
        <v>09/05</v>
      </c>
      <c r="J55" s="15" t="str">
        <f t="shared" si="3"/>
        <v>Matin</v>
      </c>
    </row>
    <row r="56" ht="15.0" customHeight="1">
      <c r="A56" s="17">
        <v>46151.0</v>
      </c>
      <c r="B56" s="18" t="s">
        <v>66</v>
      </c>
      <c r="C56" s="18" t="s">
        <v>27</v>
      </c>
      <c r="D56" s="19">
        <v>0.472916666666667</v>
      </c>
      <c r="E56" s="19">
        <v>0.554166666666667</v>
      </c>
      <c r="F56" s="12" t="str">
        <f t="shared" si="1"/>
        <v>117</v>
      </c>
      <c r="G56" s="18" t="s">
        <v>23</v>
      </c>
      <c r="H56" s="12" t="str">
        <f t="shared" si="4"/>
        <v/>
      </c>
      <c r="I56" s="14" t="str">
        <f t="shared" si="2"/>
        <v>09/05</v>
      </c>
      <c r="J56" s="15" t="str">
        <f t="shared" si="3"/>
        <v>Matin</v>
      </c>
    </row>
    <row r="57" ht="15.0" customHeight="1">
      <c r="A57" s="17">
        <v>46151.0</v>
      </c>
      <c r="B57" s="18" t="s">
        <v>66</v>
      </c>
      <c r="C57" s="18" t="s">
        <v>27</v>
      </c>
      <c r="D57" s="19">
        <v>0.560416666666667</v>
      </c>
      <c r="E57" s="19">
        <v>0.583333333333333</v>
      </c>
      <c r="F57" s="12" t="str">
        <f t="shared" si="1"/>
        <v>33</v>
      </c>
      <c r="G57" s="18"/>
      <c r="H57" s="12" t="str">
        <f t="shared" si="4"/>
        <v/>
      </c>
      <c r="I57" s="14" t="str">
        <f t="shared" si="2"/>
        <v>09/05</v>
      </c>
      <c r="J57" s="15" t="str">
        <f t="shared" si="3"/>
        <v>Matin</v>
      </c>
    </row>
    <row r="58" ht="15.0" customHeight="1">
      <c r="A58" s="17">
        <v>46151.0</v>
      </c>
      <c r="B58" s="18" t="s">
        <v>54</v>
      </c>
      <c r="C58" s="18" t="s">
        <v>27</v>
      </c>
      <c r="D58" s="19">
        <v>0.586805555555556</v>
      </c>
      <c r="E58" s="19">
        <v>0.618055555555556</v>
      </c>
      <c r="F58" s="12" t="str">
        <f t="shared" si="1"/>
        <v>45</v>
      </c>
      <c r="G58" s="18" t="s">
        <v>38</v>
      </c>
      <c r="H58" s="12" t="str">
        <f t="shared" si="4"/>
        <v>5</v>
      </c>
      <c r="I58" s="14" t="str">
        <f t="shared" si="2"/>
        <v>09/05</v>
      </c>
      <c r="J58" s="15" t="str">
        <f t="shared" si="3"/>
        <v>Après-midi</v>
      </c>
    </row>
    <row r="59" ht="15.0" customHeight="1">
      <c r="A59" s="17">
        <v>46151.0</v>
      </c>
      <c r="B59" s="18" t="s">
        <v>54</v>
      </c>
      <c r="C59" s="18" t="s">
        <v>27</v>
      </c>
      <c r="D59" s="19">
        <v>0.638888888888889</v>
      </c>
      <c r="E59" s="19">
        <v>0.7</v>
      </c>
      <c r="F59" s="12" t="str">
        <f t="shared" si="1"/>
        <v>88</v>
      </c>
      <c r="G59" s="18" t="s">
        <v>26</v>
      </c>
      <c r="H59" s="12" t="str">
        <f t="shared" si="4"/>
        <v/>
      </c>
      <c r="I59" s="14" t="str">
        <f t="shared" si="2"/>
        <v>09/05</v>
      </c>
      <c r="J59" s="15" t="str">
        <f t="shared" si="3"/>
        <v>Après-midi</v>
      </c>
    </row>
    <row r="60" ht="15.0" customHeight="1">
      <c r="A60" s="17">
        <v>46151.0</v>
      </c>
      <c r="B60" s="18" t="s">
        <v>54</v>
      </c>
      <c r="C60" s="18" t="s">
        <v>27</v>
      </c>
      <c r="D60" s="19">
        <v>0.706944444444445</v>
      </c>
      <c r="E60" s="19">
        <v>0.845833333333333</v>
      </c>
      <c r="F60" s="12" t="str">
        <f t="shared" si="1"/>
        <v>200</v>
      </c>
      <c r="G60" s="18" t="s">
        <v>23</v>
      </c>
      <c r="H60" s="12" t="str">
        <f t="shared" si="4"/>
        <v/>
      </c>
      <c r="I60" s="14" t="str">
        <f t="shared" si="2"/>
        <v>09/05</v>
      </c>
      <c r="J60" s="15" t="str">
        <f t="shared" si="3"/>
        <v>Après-midi</v>
      </c>
    </row>
    <row r="61" ht="15.0" customHeight="1">
      <c r="A61" s="17">
        <v>46151.0</v>
      </c>
      <c r="B61" s="18" t="s">
        <v>54</v>
      </c>
      <c r="C61" s="18" t="s">
        <v>27</v>
      </c>
      <c r="D61" s="19">
        <v>0.854166666666667</v>
      </c>
      <c r="E61" s="19">
        <v>0.916666666666667</v>
      </c>
      <c r="F61" s="12" t="str">
        <f t="shared" si="1"/>
        <v>90</v>
      </c>
      <c r="G61" s="18" t="s">
        <v>23</v>
      </c>
      <c r="H61" s="12" t="str">
        <f t="shared" si="4"/>
        <v/>
      </c>
      <c r="I61" s="14" t="str">
        <f t="shared" si="2"/>
        <v>09/05</v>
      </c>
      <c r="J61" s="15" t="str">
        <f t="shared" si="3"/>
        <v>Après-midi</v>
      </c>
    </row>
    <row r="62" ht="15.0" customHeight="1">
      <c r="A62" s="20">
        <v>46151.0</v>
      </c>
      <c r="B62" s="21" t="s">
        <v>67</v>
      </c>
      <c r="C62" s="21" t="s">
        <v>27</v>
      </c>
      <c r="D62" s="22">
        <v>0.920138888888889</v>
      </c>
      <c r="E62" s="22">
        <v>0.0229166666666667</v>
      </c>
      <c r="F62" s="23" t="str">
        <f t="shared" si="1"/>
        <v>148</v>
      </c>
      <c r="G62" s="21" t="s">
        <v>23</v>
      </c>
      <c r="H62" s="12" t="str">
        <f t="shared" si="4"/>
        <v>5</v>
      </c>
      <c r="I62" s="14" t="str">
        <f t="shared" si="2"/>
        <v>09/05</v>
      </c>
      <c r="J62" s="15" t="str">
        <f t="shared" si="3"/>
        <v>Nuit</v>
      </c>
      <c r="K62" s="24"/>
    </row>
    <row r="63" ht="15.0" customHeight="1">
      <c r="A63" s="17">
        <v>46152.0</v>
      </c>
      <c r="B63" s="18" t="s">
        <v>67</v>
      </c>
      <c r="C63" s="18" t="s">
        <v>27</v>
      </c>
      <c r="D63" s="19">
        <v>0.0354166666666667</v>
      </c>
      <c r="E63" s="19">
        <v>0.159027777777778</v>
      </c>
      <c r="F63" s="12" t="str">
        <f t="shared" si="1"/>
        <v>178</v>
      </c>
      <c r="G63" s="18" t="s">
        <v>23</v>
      </c>
      <c r="H63" s="12" t="str">
        <f t="shared" si="4"/>
        <v/>
      </c>
      <c r="I63" s="14" t="str">
        <f t="shared" si="2"/>
        <v>09/05</v>
      </c>
      <c r="J63" s="15" t="str">
        <f t="shared" si="3"/>
        <v>Nuit</v>
      </c>
    </row>
    <row r="64" ht="15.0" customHeight="1">
      <c r="A64" s="17">
        <v>46152.0</v>
      </c>
      <c r="B64" s="18" t="s">
        <v>67</v>
      </c>
      <c r="C64" s="18" t="s">
        <v>27</v>
      </c>
      <c r="D64" s="19">
        <v>0.163888888888889</v>
      </c>
      <c r="E64" s="19">
        <v>0.25</v>
      </c>
      <c r="F64" s="12" t="str">
        <f t="shared" si="1"/>
        <v>124</v>
      </c>
      <c r="G64" s="18" t="s">
        <v>23</v>
      </c>
      <c r="H64" s="12" t="str">
        <f t="shared" si="4"/>
        <v/>
      </c>
      <c r="I64" s="14" t="str">
        <f t="shared" si="2"/>
        <v>09/05</v>
      </c>
      <c r="J64" s="15" t="str">
        <f t="shared" si="3"/>
        <v>Nuit</v>
      </c>
    </row>
    <row r="65" ht="15.0" customHeight="1">
      <c r="A65" s="17">
        <v>46152.0</v>
      </c>
      <c r="B65" s="18" t="s">
        <v>66</v>
      </c>
      <c r="C65" s="18" t="s">
        <v>27</v>
      </c>
      <c r="D65" s="19">
        <v>0.256944444444444</v>
      </c>
      <c r="E65" s="19">
        <v>0.371527777777778</v>
      </c>
      <c r="F65" s="12" t="str">
        <f t="shared" si="1"/>
        <v>165</v>
      </c>
      <c r="G65" s="18" t="s">
        <v>23</v>
      </c>
      <c r="H65" s="12" t="str">
        <f t="shared" si="4"/>
        <v>10</v>
      </c>
      <c r="I65" s="14" t="str">
        <f t="shared" si="2"/>
        <v>10/05</v>
      </c>
      <c r="J65" s="15" t="str">
        <f t="shared" si="3"/>
        <v>Matin</v>
      </c>
    </row>
    <row r="66" ht="15.0" customHeight="1">
      <c r="A66" s="17">
        <v>46152.0</v>
      </c>
      <c r="B66" s="18" t="s">
        <v>66</v>
      </c>
      <c r="C66" s="18" t="s">
        <v>27</v>
      </c>
      <c r="D66" s="19">
        <v>0.373611111111111</v>
      </c>
      <c r="E66" s="19">
        <v>0.40625</v>
      </c>
      <c r="F66" s="12" t="str">
        <f t="shared" si="1"/>
        <v>47</v>
      </c>
      <c r="G66" s="18" t="s">
        <v>65</v>
      </c>
      <c r="H66" s="12" t="str">
        <f t="shared" si="4"/>
        <v/>
      </c>
      <c r="I66" s="14" t="str">
        <f t="shared" si="2"/>
        <v>10/05</v>
      </c>
      <c r="J66" s="15" t="str">
        <f t="shared" si="3"/>
        <v>Matin</v>
      </c>
    </row>
    <row r="67" ht="15.0" customHeight="1">
      <c r="A67" s="17">
        <v>46152.0</v>
      </c>
      <c r="B67" s="18" t="s">
        <v>66</v>
      </c>
      <c r="C67" s="18" t="s">
        <v>27</v>
      </c>
      <c r="D67" s="19">
        <v>0.375694444444444</v>
      </c>
      <c r="E67" s="19">
        <v>0.486111111111111</v>
      </c>
      <c r="F67" s="12" t="str">
        <f t="shared" si="1"/>
        <v>159</v>
      </c>
      <c r="G67" s="18" t="s">
        <v>65</v>
      </c>
      <c r="H67" s="12" t="str">
        <f t="shared" si="4"/>
        <v/>
      </c>
      <c r="I67" s="14" t="str">
        <f t="shared" si="2"/>
        <v>10/05</v>
      </c>
      <c r="J67" s="15" t="str">
        <f t="shared" si="3"/>
        <v>Matin</v>
      </c>
    </row>
    <row r="68" ht="15.0" customHeight="1">
      <c r="A68" s="17">
        <v>46152.0</v>
      </c>
      <c r="B68" s="18" t="s">
        <v>66</v>
      </c>
      <c r="C68" s="18" t="s">
        <v>27</v>
      </c>
      <c r="D68" s="19">
        <v>0.498611111111111</v>
      </c>
      <c r="E68" s="19">
        <v>0.583333333333333</v>
      </c>
      <c r="F68" s="12" t="str">
        <f t="shared" si="1"/>
        <v>122</v>
      </c>
      <c r="G68" s="18" t="s">
        <v>23</v>
      </c>
      <c r="H68" s="12" t="str">
        <f t="shared" si="4"/>
        <v/>
      </c>
      <c r="I68" s="14" t="str">
        <f t="shared" si="2"/>
        <v>10/05</v>
      </c>
      <c r="J68" s="15" t="str">
        <f t="shared" si="3"/>
        <v>Matin</v>
      </c>
    </row>
    <row r="69" ht="15.0" customHeight="1">
      <c r="A69" s="17">
        <v>46153.0</v>
      </c>
      <c r="B69" s="18" t="s">
        <v>54</v>
      </c>
      <c r="C69" s="18" t="s">
        <v>27</v>
      </c>
      <c r="D69" s="19">
        <v>0.263194444444445</v>
      </c>
      <c r="E69" s="19">
        <v>0.375694444444444</v>
      </c>
      <c r="F69" s="12" t="str">
        <f t="shared" si="1"/>
        <v>162</v>
      </c>
      <c r="G69" s="18" t="s">
        <v>23</v>
      </c>
      <c r="H69" s="12" t="str">
        <f t="shared" si="4"/>
        <v>979</v>
      </c>
      <c r="I69" s="14" t="str">
        <f t="shared" si="2"/>
        <v>11/05</v>
      </c>
      <c r="J69" s="15" t="str">
        <f t="shared" si="3"/>
        <v>Matin</v>
      </c>
    </row>
    <row r="70" ht="15.0" customHeight="1">
      <c r="A70" s="17">
        <v>46153.0</v>
      </c>
      <c r="B70" s="18" t="s">
        <v>54</v>
      </c>
      <c r="C70" s="18" t="s">
        <v>27</v>
      </c>
      <c r="D70" s="19">
        <v>0.389583333333333</v>
      </c>
      <c r="E70" s="19">
        <v>0.520833333333333</v>
      </c>
      <c r="F70" s="12" t="str">
        <f t="shared" si="1"/>
        <v>189</v>
      </c>
      <c r="G70" s="18" t="s">
        <v>23</v>
      </c>
      <c r="H70" s="12" t="str">
        <f t="shared" si="4"/>
        <v/>
      </c>
      <c r="I70" s="14" t="str">
        <f t="shared" si="2"/>
        <v>11/05</v>
      </c>
      <c r="J70" s="15" t="str">
        <f t="shared" si="3"/>
        <v>Matin</v>
      </c>
    </row>
    <row r="71" ht="15.0" customHeight="1">
      <c r="A71" s="17">
        <v>46153.0</v>
      </c>
      <c r="B71" s="18" t="s">
        <v>54</v>
      </c>
      <c r="C71" s="18" t="s">
        <v>27</v>
      </c>
      <c r="D71" s="19">
        <v>0.527777777777778</v>
      </c>
      <c r="E71" s="19">
        <v>0.579861111111111</v>
      </c>
      <c r="F71" s="12" t="str">
        <f t="shared" si="1"/>
        <v>75</v>
      </c>
      <c r="G71" s="18" t="s">
        <v>26</v>
      </c>
      <c r="H71" s="12" t="str">
        <f t="shared" si="4"/>
        <v/>
      </c>
      <c r="I71" s="14" t="str">
        <f t="shared" si="2"/>
        <v>11/05</v>
      </c>
      <c r="J71" s="15" t="str">
        <f t="shared" si="3"/>
        <v>Matin</v>
      </c>
    </row>
    <row r="72" ht="15.0" customHeight="1">
      <c r="A72" s="17">
        <v>46153.0</v>
      </c>
      <c r="B72" s="18" t="s">
        <v>66</v>
      </c>
      <c r="C72" s="18" t="s">
        <v>27</v>
      </c>
      <c r="D72" s="19">
        <v>0.590277777777778</v>
      </c>
      <c r="E72" s="19">
        <v>0.690972222222222</v>
      </c>
      <c r="F72" s="12" t="str">
        <f t="shared" si="1"/>
        <v>145</v>
      </c>
      <c r="G72" s="18" t="s">
        <v>23</v>
      </c>
      <c r="H72" s="12" t="str">
        <f t="shared" si="4"/>
        <v>15</v>
      </c>
      <c r="I72" s="14" t="str">
        <f t="shared" si="2"/>
        <v>11/05</v>
      </c>
      <c r="J72" s="15" t="str">
        <f t="shared" si="3"/>
        <v>Après-midi</v>
      </c>
    </row>
    <row r="73" ht="15.0" customHeight="1">
      <c r="A73" s="17">
        <v>46153.0</v>
      </c>
      <c r="B73" s="18" t="s">
        <v>66</v>
      </c>
      <c r="C73" s="18" t="s">
        <v>27</v>
      </c>
      <c r="D73" s="19">
        <v>0.702777777777778</v>
      </c>
      <c r="E73" s="19">
        <v>0.840277777777778</v>
      </c>
      <c r="F73" s="12" t="str">
        <f t="shared" si="1"/>
        <v>198</v>
      </c>
      <c r="G73" s="18" t="s">
        <v>23</v>
      </c>
      <c r="H73" s="12" t="str">
        <f t="shared" si="4"/>
        <v/>
      </c>
      <c r="I73" s="14" t="str">
        <f t="shared" si="2"/>
        <v>11/05</v>
      </c>
      <c r="J73" s="15" t="str">
        <f t="shared" si="3"/>
        <v>Après-midi</v>
      </c>
    </row>
    <row r="74" ht="15.0" customHeight="1">
      <c r="A74" s="17">
        <v>46153.0</v>
      </c>
      <c r="B74" s="18" t="s">
        <v>66</v>
      </c>
      <c r="C74" s="18" t="s">
        <v>27</v>
      </c>
      <c r="D74" s="19">
        <v>0.851388888888889</v>
      </c>
      <c r="E74" s="19">
        <v>0.904861111111111</v>
      </c>
      <c r="F74" s="12" t="str">
        <f t="shared" si="1"/>
        <v>77</v>
      </c>
      <c r="G74" s="18" t="s">
        <v>23</v>
      </c>
      <c r="H74" s="12" t="str">
        <f t="shared" si="4"/>
        <v/>
      </c>
      <c r="I74" s="14" t="str">
        <f t="shared" si="2"/>
        <v>11/05</v>
      </c>
      <c r="J74" s="15" t="str">
        <f t="shared" si="3"/>
        <v>Après-midi</v>
      </c>
    </row>
    <row r="75" ht="15.0" customHeight="1">
      <c r="A75" s="17">
        <v>46153.0</v>
      </c>
      <c r="B75" s="18" t="s">
        <v>66</v>
      </c>
      <c r="C75" s="18" t="s">
        <v>27</v>
      </c>
      <c r="D75" s="19">
        <v>0.911111111111111</v>
      </c>
      <c r="E75" s="19">
        <v>0.916666666666667</v>
      </c>
      <c r="F75" s="12" t="str">
        <f t="shared" si="1"/>
        <v>8</v>
      </c>
      <c r="G75" s="18" t="s">
        <v>23</v>
      </c>
      <c r="H75" s="12" t="str">
        <f t="shared" si="4"/>
        <v/>
      </c>
      <c r="I75" s="14" t="str">
        <f t="shared" si="2"/>
        <v>11/05</v>
      </c>
      <c r="J75" s="15" t="str">
        <f t="shared" si="3"/>
        <v>Après-midi</v>
      </c>
    </row>
    <row r="76" ht="15.0" customHeight="1">
      <c r="A76" s="20">
        <v>46153.0</v>
      </c>
      <c r="B76" s="21" t="s">
        <v>67</v>
      </c>
      <c r="C76" s="21" t="s">
        <v>27</v>
      </c>
      <c r="D76" s="22">
        <v>0.919444444444444</v>
      </c>
      <c r="E76" s="22">
        <v>0.0340277777777778</v>
      </c>
      <c r="F76" s="23" t="str">
        <f t="shared" si="1"/>
        <v>165</v>
      </c>
      <c r="G76" s="21" t="s">
        <v>23</v>
      </c>
      <c r="H76" s="12" t="str">
        <f t="shared" si="4"/>
        <v>4</v>
      </c>
      <c r="I76" s="14" t="str">
        <f t="shared" si="2"/>
        <v>11/05</v>
      </c>
      <c r="J76" s="15" t="str">
        <f t="shared" si="3"/>
        <v>Nuit</v>
      </c>
      <c r="K76" s="24"/>
    </row>
    <row r="77" ht="15.0" customHeight="1">
      <c r="A77" s="17">
        <v>46154.0</v>
      </c>
      <c r="B77" s="18" t="s">
        <v>67</v>
      </c>
      <c r="C77" s="18" t="s">
        <v>27</v>
      </c>
      <c r="D77" s="19">
        <v>0.0416666666666667</v>
      </c>
      <c r="E77" s="19">
        <v>0.126388888888889</v>
      </c>
      <c r="F77" s="12" t="str">
        <f t="shared" si="1"/>
        <v>122</v>
      </c>
      <c r="G77" s="18" t="s">
        <v>23</v>
      </c>
      <c r="H77" s="12" t="str">
        <f t="shared" si="4"/>
        <v/>
      </c>
      <c r="I77" s="14" t="str">
        <f t="shared" si="2"/>
        <v>11/05</v>
      </c>
      <c r="J77" s="15" t="str">
        <f t="shared" si="3"/>
        <v>Nuit</v>
      </c>
    </row>
    <row r="78" ht="15.0" customHeight="1">
      <c r="A78" s="17">
        <v>46154.0</v>
      </c>
      <c r="B78" s="18" t="s">
        <v>67</v>
      </c>
      <c r="C78" s="18" t="s">
        <v>27</v>
      </c>
      <c r="D78" s="19">
        <v>0.131944444444444</v>
      </c>
      <c r="E78" s="19">
        <v>0.138888888888889</v>
      </c>
      <c r="F78" s="12" t="str">
        <f t="shared" si="1"/>
        <v>10</v>
      </c>
      <c r="G78" s="18" t="s">
        <v>65</v>
      </c>
      <c r="H78" s="12" t="str">
        <f t="shared" si="4"/>
        <v/>
      </c>
      <c r="I78" s="14" t="str">
        <f t="shared" si="2"/>
        <v>11/05</v>
      </c>
      <c r="J78" s="15" t="str">
        <f t="shared" si="3"/>
        <v>Nuit</v>
      </c>
    </row>
    <row r="79" ht="15.0" customHeight="1">
      <c r="A79" s="17">
        <v>46154.0</v>
      </c>
      <c r="B79" s="18" t="s">
        <v>67</v>
      </c>
      <c r="C79" s="18" t="s">
        <v>27</v>
      </c>
      <c r="D79" s="19">
        <v>0.14375</v>
      </c>
      <c r="E79" s="19">
        <v>0.208333333333333</v>
      </c>
      <c r="F79" s="12" t="str">
        <f t="shared" si="1"/>
        <v>93</v>
      </c>
      <c r="G79" s="18" t="s">
        <v>23</v>
      </c>
      <c r="H79" s="12" t="str">
        <f t="shared" si="4"/>
        <v/>
      </c>
      <c r="I79" s="14" t="str">
        <f t="shared" si="2"/>
        <v>11/05</v>
      </c>
      <c r="J79" s="15" t="str">
        <f t="shared" si="3"/>
        <v>Nuit</v>
      </c>
    </row>
    <row r="80" ht="15.0" customHeight="1">
      <c r="A80" s="17">
        <v>46154.0</v>
      </c>
      <c r="B80" s="18" t="s">
        <v>67</v>
      </c>
      <c r="C80" s="18" t="s">
        <v>27</v>
      </c>
      <c r="D80" s="19">
        <v>0.219444444444444</v>
      </c>
      <c r="E80" s="19">
        <v>0.25</v>
      </c>
      <c r="F80" s="12" t="str">
        <f t="shared" si="1"/>
        <v>44</v>
      </c>
      <c r="G80" s="18" t="s">
        <v>23</v>
      </c>
      <c r="H80" s="12" t="str">
        <f t="shared" si="4"/>
        <v/>
      </c>
      <c r="I80" s="14" t="str">
        <f t="shared" si="2"/>
        <v>11/05</v>
      </c>
      <c r="J80" s="15" t="str">
        <f t="shared" si="3"/>
        <v>Nuit</v>
      </c>
    </row>
    <row r="81" ht="15.0" customHeight="1">
      <c r="A81" s="17">
        <v>46154.0</v>
      </c>
      <c r="B81" s="18" t="s">
        <v>67</v>
      </c>
      <c r="C81" s="18" t="s">
        <v>27</v>
      </c>
      <c r="D81" s="19">
        <v>0.253472222222222</v>
      </c>
      <c r="E81" s="19">
        <v>0.272916666666667</v>
      </c>
      <c r="F81" s="12" t="str">
        <f t="shared" si="1"/>
        <v>28</v>
      </c>
      <c r="G81" s="18" t="s">
        <v>35</v>
      </c>
      <c r="H81" s="12" t="str">
        <f t="shared" si="4"/>
        <v/>
      </c>
      <c r="I81" s="14" t="str">
        <f t="shared" si="2"/>
        <v>12/05</v>
      </c>
      <c r="J81" s="15" t="str">
        <f t="shared" si="3"/>
        <v>Matin</v>
      </c>
    </row>
    <row r="82" ht="15.0" customHeight="1">
      <c r="A82" s="17">
        <v>46154.0</v>
      </c>
      <c r="B82" s="18" t="s">
        <v>67</v>
      </c>
      <c r="C82" s="18" t="s">
        <v>27</v>
      </c>
      <c r="D82" s="19">
        <v>0.279861111111111</v>
      </c>
      <c r="E82" s="19">
        <v>0.4375</v>
      </c>
      <c r="F82" s="12" t="str">
        <f t="shared" si="1"/>
        <v>227</v>
      </c>
      <c r="G82" s="18" t="s">
        <v>23</v>
      </c>
      <c r="H82" s="12" t="str">
        <f t="shared" si="4"/>
        <v/>
      </c>
      <c r="I82" s="14" t="str">
        <f t="shared" si="2"/>
        <v>12/05</v>
      </c>
      <c r="J82" s="15" t="str">
        <f t="shared" si="3"/>
        <v>Matin</v>
      </c>
    </row>
    <row r="83" ht="15.0" customHeight="1">
      <c r="A83" s="17">
        <v>46154.0</v>
      </c>
      <c r="B83" s="18" t="s">
        <v>67</v>
      </c>
      <c r="C83" s="18" t="s">
        <v>27</v>
      </c>
      <c r="D83" s="19">
        <v>0.444444444444444</v>
      </c>
      <c r="E83" s="19">
        <v>0.504861111111111</v>
      </c>
      <c r="F83" s="12" t="str">
        <f t="shared" si="1"/>
        <v>87</v>
      </c>
      <c r="G83" s="18" t="s">
        <v>35</v>
      </c>
      <c r="H83" s="12" t="str">
        <f t="shared" si="4"/>
        <v/>
      </c>
      <c r="I83" s="14" t="str">
        <f t="shared" si="2"/>
        <v>12/05</v>
      </c>
      <c r="J83" s="15" t="str">
        <f t="shared" si="3"/>
        <v>Matin</v>
      </c>
    </row>
    <row r="84" ht="15.0" customHeight="1">
      <c r="A84" s="17">
        <v>46154.0</v>
      </c>
      <c r="B84" s="18" t="s">
        <v>67</v>
      </c>
      <c r="C84" s="18" t="s">
        <v>27</v>
      </c>
      <c r="D84" s="19">
        <v>0.510416666666667</v>
      </c>
      <c r="E84" s="19">
        <v>0.583333333333333</v>
      </c>
      <c r="F84" s="12" t="str">
        <f t="shared" si="1"/>
        <v>105</v>
      </c>
      <c r="G84" s="18" t="s">
        <v>23</v>
      </c>
      <c r="H84" s="12" t="str">
        <f t="shared" si="4"/>
        <v/>
      </c>
      <c r="I84" s="14" t="str">
        <f t="shared" si="2"/>
        <v>12/05</v>
      </c>
      <c r="J84" s="15" t="str">
        <f t="shared" si="3"/>
        <v>Matin</v>
      </c>
    </row>
    <row r="85" ht="15.0" customHeight="1">
      <c r="A85" s="17">
        <v>46154.0</v>
      </c>
      <c r="B85" s="18" t="s">
        <v>66</v>
      </c>
      <c r="C85" s="18" t="s">
        <v>27</v>
      </c>
      <c r="D85" s="19">
        <v>0.586805555555556</v>
      </c>
      <c r="E85" s="19">
        <v>0.638888888888889</v>
      </c>
      <c r="F85" s="12" t="str">
        <f t="shared" si="1"/>
        <v>75</v>
      </c>
      <c r="G85" s="18" t="s">
        <v>23</v>
      </c>
      <c r="H85" s="12" t="str">
        <f t="shared" si="4"/>
        <v>5</v>
      </c>
      <c r="I85" s="14" t="str">
        <f t="shared" si="2"/>
        <v>12/05</v>
      </c>
      <c r="J85" s="15" t="str">
        <f t="shared" si="3"/>
        <v>Après-midi</v>
      </c>
    </row>
    <row r="86" ht="15.0" customHeight="1">
      <c r="A86" s="17">
        <v>46154.0</v>
      </c>
      <c r="B86" s="18" t="s">
        <v>66</v>
      </c>
      <c r="C86" s="18" t="s">
        <v>27</v>
      </c>
      <c r="D86" s="19">
        <v>0.652777777777778</v>
      </c>
      <c r="E86" s="19">
        <v>0.732638888888889</v>
      </c>
      <c r="F86" s="12" t="str">
        <f t="shared" si="1"/>
        <v>115</v>
      </c>
      <c r="G86" s="18" t="s">
        <v>23</v>
      </c>
      <c r="H86" s="12" t="str">
        <f t="shared" si="4"/>
        <v/>
      </c>
      <c r="I86" s="14" t="str">
        <f t="shared" si="2"/>
        <v>12/05</v>
      </c>
      <c r="J86" s="15" t="str">
        <f t="shared" si="3"/>
        <v>Après-midi</v>
      </c>
    </row>
    <row r="87" ht="15.0" customHeight="1">
      <c r="A87" s="17">
        <v>46154.0</v>
      </c>
      <c r="B87" s="18" t="s">
        <v>66</v>
      </c>
      <c r="C87" s="18" t="s">
        <v>27</v>
      </c>
      <c r="D87" s="19">
        <v>0.741666666666667</v>
      </c>
      <c r="E87" s="19">
        <v>0.828472222222222</v>
      </c>
      <c r="F87" s="12" t="str">
        <f t="shared" si="1"/>
        <v>125</v>
      </c>
      <c r="G87" s="18" t="s">
        <v>65</v>
      </c>
      <c r="H87" s="12" t="str">
        <f t="shared" si="4"/>
        <v/>
      </c>
      <c r="I87" s="14" t="str">
        <f t="shared" si="2"/>
        <v>12/05</v>
      </c>
      <c r="J87" s="15" t="str">
        <f t="shared" si="3"/>
        <v>Après-midi</v>
      </c>
    </row>
    <row r="88" ht="15.0" customHeight="1">
      <c r="A88" s="17">
        <v>46154.0</v>
      </c>
      <c r="B88" s="18" t="s">
        <v>66</v>
      </c>
      <c r="C88" s="18" t="s">
        <v>27</v>
      </c>
      <c r="D88" s="19">
        <v>0.851388888888889</v>
      </c>
      <c r="E88" s="19">
        <v>0.909722222222222</v>
      </c>
      <c r="F88" s="12" t="str">
        <f t="shared" si="1"/>
        <v>84</v>
      </c>
      <c r="G88" s="18" t="s">
        <v>23</v>
      </c>
      <c r="H88" s="12" t="str">
        <f t="shared" si="4"/>
        <v/>
      </c>
      <c r="I88" s="14" t="str">
        <f t="shared" si="2"/>
        <v>12/05</v>
      </c>
      <c r="J88" s="15" t="str">
        <f t="shared" si="3"/>
        <v>Après-midi</v>
      </c>
    </row>
    <row r="89" ht="15.0" customHeight="1">
      <c r="A89" s="17">
        <v>46154.0</v>
      </c>
      <c r="B89" s="18" t="s">
        <v>67</v>
      </c>
      <c r="C89" s="18" t="s">
        <v>27</v>
      </c>
      <c r="D89" s="19">
        <v>0.922916666666667</v>
      </c>
      <c r="E89" s="19">
        <v>0.951388888888889</v>
      </c>
      <c r="F89" s="12" t="str">
        <f t="shared" si="1"/>
        <v>41</v>
      </c>
      <c r="G89" s="18" t="s">
        <v>26</v>
      </c>
      <c r="H89" s="12" t="str">
        <f t="shared" si="4"/>
        <v>19</v>
      </c>
      <c r="I89" s="14" t="str">
        <f t="shared" si="2"/>
        <v>12/05</v>
      </c>
      <c r="J89" s="15" t="str">
        <f t="shared" si="3"/>
        <v>Nuit</v>
      </c>
    </row>
    <row r="90" ht="15.0" customHeight="1">
      <c r="A90" s="20">
        <v>46154.0</v>
      </c>
      <c r="B90" s="21" t="s">
        <v>67</v>
      </c>
      <c r="C90" s="21" t="s">
        <v>27</v>
      </c>
      <c r="D90" s="22">
        <v>0.958333333333333</v>
      </c>
      <c r="E90" s="22">
        <v>0.0604166666666667</v>
      </c>
      <c r="F90" s="23" t="str">
        <f t="shared" si="1"/>
        <v>147</v>
      </c>
      <c r="G90" s="21" t="s">
        <v>23</v>
      </c>
      <c r="H90" s="12" t="str">
        <f t="shared" si="4"/>
        <v/>
      </c>
      <c r="I90" s="14" t="str">
        <f t="shared" si="2"/>
        <v>12/05</v>
      </c>
      <c r="J90" s="15" t="str">
        <f t="shared" si="3"/>
        <v>Nuit</v>
      </c>
      <c r="K90" s="24"/>
    </row>
    <row r="91" ht="15.0" customHeight="1">
      <c r="A91" s="17">
        <v>46155.0</v>
      </c>
      <c r="B91" s="18" t="s">
        <v>67</v>
      </c>
      <c r="C91" s="18" t="s">
        <v>27</v>
      </c>
      <c r="D91" s="19">
        <v>0.0673611111111111</v>
      </c>
      <c r="E91" s="19">
        <v>0.104166666666667</v>
      </c>
      <c r="F91" s="12" t="str">
        <f t="shared" si="1"/>
        <v>53</v>
      </c>
      <c r="G91" s="18" t="s">
        <v>65</v>
      </c>
      <c r="H91" s="12" t="str">
        <f t="shared" si="4"/>
        <v/>
      </c>
      <c r="I91" s="14" t="str">
        <f t="shared" si="2"/>
        <v>12/05</v>
      </c>
      <c r="J91" s="15" t="str">
        <f t="shared" si="3"/>
        <v>Nuit</v>
      </c>
    </row>
    <row r="92" ht="15.0" customHeight="1">
      <c r="A92" s="17">
        <v>46155.0</v>
      </c>
      <c r="B92" s="18" t="s">
        <v>67</v>
      </c>
      <c r="C92" s="18" t="s">
        <v>27</v>
      </c>
      <c r="D92" s="19">
        <v>0.113194444444444</v>
      </c>
      <c r="E92" s="19">
        <v>0.173611111111111</v>
      </c>
      <c r="F92" s="12" t="str">
        <f t="shared" si="1"/>
        <v>87</v>
      </c>
      <c r="G92" s="18" t="s">
        <v>23</v>
      </c>
      <c r="H92" s="12" t="str">
        <f t="shared" si="4"/>
        <v/>
      </c>
      <c r="I92" s="14" t="str">
        <f t="shared" si="2"/>
        <v>12/05</v>
      </c>
      <c r="J92" s="15" t="str">
        <f t="shared" si="3"/>
        <v>Nuit</v>
      </c>
    </row>
    <row r="93" ht="15.0" customHeight="1">
      <c r="A93" s="17">
        <v>46155.0</v>
      </c>
      <c r="B93" s="18" t="s">
        <v>67</v>
      </c>
      <c r="C93" s="18" t="s">
        <v>27</v>
      </c>
      <c r="D93" s="19">
        <v>0.18125</v>
      </c>
      <c r="E93" s="19">
        <v>0.20625</v>
      </c>
      <c r="F93" s="12" t="str">
        <f t="shared" si="1"/>
        <v>36</v>
      </c>
      <c r="G93" s="18" t="s">
        <v>26</v>
      </c>
      <c r="H93" s="12" t="str">
        <f t="shared" si="4"/>
        <v/>
      </c>
      <c r="I93" s="14" t="str">
        <f t="shared" si="2"/>
        <v>12/05</v>
      </c>
      <c r="J93" s="15" t="str">
        <f t="shared" si="3"/>
        <v>Nuit</v>
      </c>
    </row>
    <row r="94" ht="15.0" customHeight="1">
      <c r="A94" s="17">
        <v>46155.0</v>
      </c>
      <c r="B94" s="18" t="s">
        <v>67</v>
      </c>
      <c r="C94" s="18" t="s">
        <v>27</v>
      </c>
      <c r="D94" s="19">
        <v>0.214583333333333</v>
      </c>
      <c r="E94" s="19">
        <v>0.25</v>
      </c>
      <c r="F94" s="12" t="str">
        <f t="shared" si="1"/>
        <v>51</v>
      </c>
      <c r="G94" s="18" t="s">
        <v>23</v>
      </c>
      <c r="H94" s="12" t="str">
        <f t="shared" si="4"/>
        <v/>
      </c>
      <c r="I94" s="14" t="str">
        <f t="shared" si="2"/>
        <v>12/05</v>
      </c>
      <c r="J94" s="15" t="str">
        <f t="shared" si="3"/>
        <v>Nuit</v>
      </c>
    </row>
    <row r="95" ht="15.0" customHeight="1">
      <c r="A95" s="17">
        <v>46155.0</v>
      </c>
      <c r="B95" s="18" t="s">
        <v>54</v>
      </c>
      <c r="C95" s="18" t="s">
        <v>27</v>
      </c>
      <c r="D95" s="19">
        <v>0.253472222222222</v>
      </c>
      <c r="E95" s="19">
        <v>0.331944444444444</v>
      </c>
      <c r="F95" s="12" t="str">
        <f t="shared" si="1"/>
        <v>113</v>
      </c>
      <c r="G95" s="18" t="s">
        <v>23</v>
      </c>
      <c r="H95" s="12" t="str">
        <f t="shared" si="4"/>
        <v>5</v>
      </c>
      <c r="I95" s="14" t="str">
        <f t="shared" si="2"/>
        <v>13/05</v>
      </c>
      <c r="J95" s="15" t="str">
        <f t="shared" si="3"/>
        <v>Matin</v>
      </c>
    </row>
    <row r="96" ht="15.0" customHeight="1">
      <c r="A96" s="17">
        <v>46155.0</v>
      </c>
      <c r="B96" s="18" t="s">
        <v>54</v>
      </c>
      <c r="C96" s="18" t="s">
        <v>27</v>
      </c>
      <c r="D96" s="19">
        <v>0.34375</v>
      </c>
      <c r="E96" s="19">
        <v>0.46875</v>
      </c>
      <c r="F96" s="12" t="str">
        <f t="shared" si="1"/>
        <v>180</v>
      </c>
      <c r="G96" s="18" t="s">
        <v>23</v>
      </c>
      <c r="H96" s="12" t="str">
        <f t="shared" si="4"/>
        <v/>
      </c>
      <c r="I96" s="14" t="str">
        <f t="shared" si="2"/>
        <v>13/05</v>
      </c>
      <c r="J96" s="15" t="str">
        <f t="shared" si="3"/>
        <v>Matin</v>
      </c>
    </row>
    <row r="97" ht="15.0" customHeight="1">
      <c r="A97" s="17">
        <v>46155.0</v>
      </c>
      <c r="B97" s="18" t="s">
        <v>54</v>
      </c>
      <c r="C97" s="18" t="s">
        <v>27</v>
      </c>
      <c r="D97" s="19">
        <v>0.479166666666667</v>
      </c>
      <c r="E97" s="19">
        <v>0.583333333333333</v>
      </c>
      <c r="F97" s="12" t="str">
        <f t="shared" si="1"/>
        <v>150</v>
      </c>
      <c r="G97" s="18" t="s">
        <v>23</v>
      </c>
      <c r="H97" s="12" t="str">
        <f t="shared" si="4"/>
        <v/>
      </c>
      <c r="I97" s="14" t="str">
        <f t="shared" si="2"/>
        <v>13/05</v>
      </c>
      <c r="J97" s="15" t="str">
        <f t="shared" si="3"/>
        <v>Matin</v>
      </c>
    </row>
    <row r="98" ht="15.0" customHeight="1">
      <c r="A98" s="17">
        <v>46155.0</v>
      </c>
      <c r="B98" s="18" t="s">
        <v>66</v>
      </c>
      <c r="C98" s="18" t="s">
        <v>27</v>
      </c>
      <c r="D98" s="19">
        <v>0.586805555555556</v>
      </c>
      <c r="E98" s="19">
        <v>0.604166666666667</v>
      </c>
      <c r="F98" s="12" t="str">
        <f t="shared" si="1"/>
        <v>25</v>
      </c>
      <c r="G98" s="18" t="s">
        <v>23</v>
      </c>
      <c r="H98" s="12" t="str">
        <f t="shared" si="4"/>
        <v>5</v>
      </c>
      <c r="I98" s="14" t="str">
        <f t="shared" si="2"/>
        <v>13/05</v>
      </c>
      <c r="J98" s="15" t="str">
        <f t="shared" si="3"/>
        <v>Après-midi</v>
      </c>
    </row>
    <row r="99" ht="15.0" customHeight="1">
      <c r="A99" s="17">
        <v>46155.0</v>
      </c>
      <c r="B99" s="18" t="s">
        <v>66</v>
      </c>
      <c r="C99" s="18" t="s">
        <v>27</v>
      </c>
      <c r="D99" s="19">
        <v>0.611805555555556</v>
      </c>
      <c r="E99" s="19">
        <v>0.760416666666667</v>
      </c>
      <c r="F99" s="12" t="str">
        <f t="shared" si="1"/>
        <v>214</v>
      </c>
      <c r="G99" s="18" t="s">
        <v>23</v>
      </c>
      <c r="H99" s="12" t="str">
        <f t="shared" si="4"/>
        <v/>
      </c>
      <c r="I99" s="14" t="str">
        <f t="shared" si="2"/>
        <v>13/05</v>
      </c>
      <c r="J99" s="15" t="str">
        <f t="shared" si="3"/>
        <v>Après-midi</v>
      </c>
    </row>
    <row r="100" ht="15.0" customHeight="1">
      <c r="A100" s="17">
        <v>46155.0</v>
      </c>
      <c r="B100" s="18" t="s">
        <v>66</v>
      </c>
      <c r="C100" s="18" t="s">
        <v>27</v>
      </c>
      <c r="D100" s="19">
        <v>0.76875</v>
      </c>
      <c r="E100" s="19">
        <v>0.916666666666667</v>
      </c>
      <c r="F100" s="12" t="str">
        <f t="shared" si="1"/>
        <v>213</v>
      </c>
      <c r="G100" s="18" t="s">
        <v>23</v>
      </c>
      <c r="H100" s="12" t="str">
        <f t="shared" si="4"/>
        <v/>
      </c>
      <c r="I100" s="14" t="str">
        <f t="shared" si="2"/>
        <v>13/05</v>
      </c>
      <c r="J100" s="15" t="str">
        <f t="shared" si="3"/>
        <v>Après-midi</v>
      </c>
    </row>
    <row r="101" ht="15.0" customHeight="1">
      <c r="A101" s="17">
        <v>46155.0</v>
      </c>
      <c r="B101" s="18" t="s">
        <v>67</v>
      </c>
      <c r="C101" s="18" t="s">
        <v>27</v>
      </c>
      <c r="D101" s="19">
        <v>0.920138888888889</v>
      </c>
      <c r="E101" s="19">
        <v>0.970138888888889</v>
      </c>
      <c r="F101" s="12" t="str">
        <f t="shared" si="1"/>
        <v>72</v>
      </c>
      <c r="G101" s="18" t="s">
        <v>65</v>
      </c>
      <c r="H101" s="12" t="str">
        <f t="shared" si="4"/>
        <v>5</v>
      </c>
      <c r="I101" s="14" t="str">
        <f t="shared" si="2"/>
        <v>13/05</v>
      </c>
      <c r="J101" s="15" t="str">
        <f t="shared" si="3"/>
        <v>Nuit</v>
      </c>
    </row>
    <row r="102" ht="15.0" customHeight="1">
      <c r="A102" s="20">
        <v>46155.0</v>
      </c>
      <c r="B102" s="21" t="s">
        <v>67</v>
      </c>
      <c r="C102" s="21" t="s">
        <v>27</v>
      </c>
      <c r="D102" s="22">
        <v>0.98125</v>
      </c>
      <c r="E102" s="22">
        <v>0.0833333333333333</v>
      </c>
      <c r="F102" s="23" t="str">
        <f t="shared" si="1"/>
        <v>147</v>
      </c>
      <c r="G102" s="21" t="s">
        <v>23</v>
      </c>
      <c r="H102" s="12" t="str">
        <f t="shared" si="4"/>
        <v/>
      </c>
      <c r="I102" s="14" t="str">
        <f t="shared" si="2"/>
        <v>13/05</v>
      </c>
      <c r="J102" s="15" t="str">
        <f t="shared" si="3"/>
        <v>Nuit</v>
      </c>
      <c r="K102" s="24"/>
    </row>
    <row r="103" ht="15.0" customHeight="1">
      <c r="A103" s="17">
        <v>46156.0</v>
      </c>
      <c r="B103" s="18" t="s">
        <v>67</v>
      </c>
      <c r="C103" s="18" t="s">
        <v>27</v>
      </c>
      <c r="D103" s="19">
        <v>0.0944444444444444</v>
      </c>
      <c r="E103" s="19">
        <v>0.211111111111111</v>
      </c>
      <c r="F103" s="12" t="str">
        <f t="shared" si="1"/>
        <v>168</v>
      </c>
      <c r="G103" s="18" t="s">
        <v>23</v>
      </c>
      <c r="H103" s="12" t="str">
        <f t="shared" si="4"/>
        <v/>
      </c>
      <c r="I103" s="14" t="str">
        <f t="shared" si="2"/>
        <v>13/05</v>
      </c>
      <c r="J103" s="15" t="str">
        <f t="shared" si="3"/>
        <v>Nuit</v>
      </c>
    </row>
    <row r="104" ht="15.0" customHeight="1">
      <c r="A104" s="17">
        <v>46156.0</v>
      </c>
      <c r="B104" s="18" t="s">
        <v>67</v>
      </c>
      <c r="C104" s="18" t="s">
        <v>27</v>
      </c>
      <c r="D104" s="19">
        <v>0.220833333333333</v>
      </c>
      <c r="E104" s="19">
        <v>0.25</v>
      </c>
      <c r="F104" s="12" t="str">
        <f t="shared" si="1"/>
        <v>42</v>
      </c>
      <c r="G104" s="18" t="s">
        <v>23</v>
      </c>
      <c r="H104" s="12" t="str">
        <f t="shared" si="4"/>
        <v/>
      </c>
      <c r="I104" s="14" t="str">
        <f t="shared" si="2"/>
        <v>13/05</v>
      </c>
      <c r="J104" s="15" t="str">
        <f t="shared" si="3"/>
        <v>Nuit</v>
      </c>
    </row>
    <row r="105" ht="15.0" customHeight="1">
      <c r="A105" s="17">
        <v>46156.0</v>
      </c>
      <c r="B105" s="18" t="s">
        <v>54</v>
      </c>
      <c r="C105" s="18" t="s">
        <v>27</v>
      </c>
      <c r="D105" s="19">
        <v>0.253472222222222</v>
      </c>
      <c r="E105" s="19">
        <v>0.284722222222222</v>
      </c>
      <c r="F105" s="12" t="str">
        <f t="shared" si="1"/>
        <v>45</v>
      </c>
      <c r="G105" s="18" t="s">
        <v>35</v>
      </c>
      <c r="H105" s="12" t="str">
        <f t="shared" si="4"/>
        <v>5</v>
      </c>
      <c r="I105" s="14" t="str">
        <f t="shared" si="2"/>
        <v>14/05</v>
      </c>
      <c r="J105" s="15" t="str">
        <f t="shared" si="3"/>
        <v>Matin</v>
      </c>
    </row>
    <row r="106" ht="15.0" customHeight="1">
      <c r="A106" s="17">
        <v>46156.0</v>
      </c>
      <c r="B106" s="18" t="s">
        <v>54</v>
      </c>
      <c r="C106" s="18" t="s">
        <v>27</v>
      </c>
      <c r="D106" s="19">
        <v>0.292361111111111</v>
      </c>
      <c r="E106" s="19">
        <v>0.350694444444444</v>
      </c>
      <c r="F106" s="12" t="str">
        <f t="shared" si="1"/>
        <v>84</v>
      </c>
      <c r="G106" s="18" t="s">
        <v>35</v>
      </c>
      <c r="H106" s="12" t="str">
        <f t="shared" si="4"/>
        <v/>
      </c>
      <c r="I106" s="14" t="str">
        <f t="shared" si="2"/>
        <v>14/05</v>
      </c>
      <c r="J106" s="15" t="str">
        <f t="shared" si="3"/>
        <v>Matin</v>
      </c>
    </row>
    <row r="107" ht="15.0" customHeight="1">
      <c r="A107" s="17">
        <v>46156.0</v>
      </c>
      <c r="B107" s="18" t="s">
        <v>54</v>
      </c>
      <c r="C107" s="18" t="s">
        <v>27</v>
      </c>
      <c r="D107" s="19">
        <v>0.361111111111111</v>
      </c>
      <c r="E107" s="19">
        <v>0.468055555555556</v>
      </c>
      <c r="F107" s="12" t="str">
        <f t="shared" si="1"/>
        <v>154</v>
      </c>
      <c r="G107" s="18" t="s">
        <v>23</v>
      </c>
      <c r="H107" s="12" t="str">
        <f t="shared" si="4"/>
        <v/>
      </c>
      <c r="I107" s="14" t="str">
        <f t="shared" si="2"/>
        <v>14/05</v>
      </c>
      <c r="J107" s="15" t="str">
        <f t="shared" si="3"/>
        <v>Matin</v>
      </c>
    </row>
    <row r="108" ht="15.0" customHeight="1">
      <c r="A108" s="17">
        <v>46156.0</v>
      </c>
      <c r="B108" s="18" t="s">
        <v>54</v>
      </c>
      <c r="C108" s="18" t="s">
        <v>27</v>
      </c>
      <c r="D108" s="19">
        <v>0.473611111111111</v>
      </c>
      <c r="E108" s="19">
        <v>0.583333333333333</v>
      </c>
      <c r="F108" s="12" t="str">
        <f t="shared" si="1"/>
        <v>158</v>
      </c>
      <c r="G108" s="18" t="s">
        <v>23</v>
      </c>
      <c r="H108" s="12" t="str">
        <f t="shared" si="4"/>
        <v/>
      </c>
      <c r="I108" s="14" t="str">
        <f t="shared" si="2"/>
        <v>14/05</v>
      </c>
      <c r="J108" s="15" t="str">
        <f t="shared" si="3"/>
        <v>Matin</v>
      </c>
    </row>
    <row r="109" ht="15.0" customHeight="1">
      <c r="A109" s="17">
        <v>46156.0</v>
      </c>
      <c r="B109" s="18" t="s">
        <v>54</v>
      </c>
      <c r="C109" s="18" t="s">
        <v>27</v>
      </c>
      <c r="D109" s="19">
        <v>0.586805555555556</v>
      </c>
      <c r="E109" s="19">
        <v>0.631944444444444</v>
      </c>
      <c r="F109" s="12" t="str">
        <f t="shared" si="1"/>
        <v>65</v>
      </c>
      <c r="G109" s="18" t="s">
        <v>65</v>
      </c>
      <c r="H109" s="12" t="str">
        <f t="shared" si="4"/>
        <v/>
      </c>
      <c r="I109" s="14" t="str">
        <f t="shared" si="2"/>
        <v>14/05</v>
      </c>
      <c r="J109" s="15" t="str">
        <f t="shared" si="3"/>
        <v>Après-midi</v>
      </c>
    </row>
    <row r="110" ht="15.0" customHeight="1">
      <c r="A110" s="17">
        <v>46156.0</v>
      </c>
      <c r="B110" s="18" t="s">
        <v>54</v>
      </c>
      <c r="C110" s="18" t="s">
        <v>27</v>
      </c>
      <c r="D110" s="19">
        <v>0.638194444444444</v>
      </c>
      <c r="E110" s="19">
        <v>0.684027777777778</v>
      </c>
      <c r="F110" s="12" t="str">
        <f t="shared" si="1"/>
        <v>66</v>
      </c>
      <c r="G110" s="18" t="s">
        <v>65</v>
      </c>
      <c r="H110" s="12" t="str">
        <f t="shared" si="4"/>
        <v/>
      </c>
      <c r="I110" s="14" t="str">
        <f t="shared" si="2"/>
        <v>14/05</v>
      </c>
      <c r="J110" s="15" t="str">
        <f t="shared" si="3"/>
        <v>Après-midi</v>
      </c>
    </row>
    <row r="111" ht="15.0" customHeight="1">
      <c r="A111" s="17">
        <v>46156.0</v>
      </c>
      <c r="B111" s="18" t="s">
        <v>54</v>
      </c>
      <c r="C111" s="18" t="s">
        <v>27</v>
      </c>
      <c r="D111" s="19">
        <v>0.6875</v>
      </c>
      <c r="E111" s="19">
        <v>0.833333333333333</v>
      </c>
      <c r="F111" s="12" t="str">
        <f t="shared" si="1"/>
        <v>210</v>
      </c>
      <c r="G111" s="18" t="s">
        <v>23</v>
      </c>
      <c r="H111" s="12" t="str">
        <f t="shared" si="4"/>
        <v/>
      </c>
      <c r="I111" s="14" t="str">
        <f t="shared" si="2"/>
        <v>14/05</v>
      </c>
      <c r="J111" s="15" t="str">
        <f t="shared" si="3"/>
        <v>Après-midi</v>
      </c>
    </row>
    <row r="112" ht="15.0" customHeight="1">
      <c r="A112" s="17">
        <v>46156.0</v>
      </c>
      <c r="B112" s="18" t="s">
        <v>54</v>
      </c>
      <c r="C112" s="18" t="s">
        <v>27</v>
      </c>
      <c r="D112" s="19">
        <v>0.840277777777778</v>
      </c>
      <c r="E112" s="19">
        <v>0.909722222222222</v>
      </c>
      <c r="F112" s="12" t="str">
        <f t="shared" si="1"/>
        <v>100</v>
      </c>
      <c r="G112" s="18" t="s">
        <v>23</v>
      </c>
      <c r="H112" s="12" t="str">
        <f t="shared" si="4"/>
        <v/>
      </c>
      <c r="I112" s="14" t="str">
        <f t="shared" si="2"/>
        <v>14/05</v>
      </c>
      <c r="J112" s="15" t="str">
        <f t="shared" si="3"/>
        <v>Après-midi</v>
      </c>
    </row>
    <row r="113" ht="15.0" customHeight="1">
      <c r="A113" s="20">
        <v>46156.0</v>
      </c>
      <c r="B113" s="21" t="s">
        <v>67</v>
      </c>
      <c r="C113" s="21" t="s">
        <v>27</v>
      </c>
      <c r="D113" s="22">
        <v>0.920833333333333</v>
      </c>
      <c r="E113" s="22">
        <v>0.0</v>
      </c>
      <c r="F113" s="23" t="str">
        <f t="shared" si="1"/>
        <v>114</v>
      </c>
      <c r="G113" s="21" t="s">
        <v>23</v>
      </c>
      <c r="H113" s="12" t="str">
        <f t="shared" si="4"/>
        <v>16</v>
      </c>
      <c r="I113" s="14" t="str">
        <f t="shared" si="2"/>
        <v>14/05</v>
      </c>
      <c r="J113" s="15" t="str">
        <f t="shared" si="3"/>
        <v>Nuit</v>
      </c>
      <c r="K113" s="24"/>
    </row>
    <row r="114" ht="15.0" customHeight="1">
      <c r="A114" s="17">
        <v>46157.0</v>
      </c>
      <c r="B114" s="18" t="s">
        <v>67</v>
      </c>
      <c r="C114" s="18" t="s">
        <v>27</v>
      </c>
      <c r="D114" s="19">
        <v>0.00902777777777778</v>
      </c>
      <c r="E114" s="19">
        <v>0.127083333333333</v>
      </c>
      <c r="F114" s="12" t="str">
        <f t="shared" si="1"/>
        <v>170</v>
      </c>
      <c r="G114" s="18" t="s">
        <v>23</v>
      </c>
      <c r="H114" s="12" t="str">
        <f t="shared" si="4"/>
        <v/>
      </c>
      <c r="I114" s="14" t="str">
        <f t="shared" si="2"/>
        <v>14/05</v>
      </c>
      <c r="J114" s="15" t="str">
        <f t="shared" si="3"/>
        <v>Nuit</v>
      </c>
    </row>
    <row r="115" ht="15.0" customHeight="1">
      <c r="A115" s="17">
        <v>46157.0</v>
      </c>
      <c r="B115" s="18" t="s">
        <v>67</v>
      </c>
      <c r="C115" s="18" t="s">
        <v>27</v>
      </c>
      <c r="D115" s="19">
        <v>0.136805555555556</v>
      </c>
      <c r="E115" s="19">
        <v>0.208333333333333</v>
      </c>
      <c r="F115" s="12" t="str">
        <f t="shared" si="1"/>
        <v>103</v>
      </c>
      <c r="G115" s="18" t="s">
        <v>23</v>
      </c>
      <c r="H115" s="12" t="str">
        <f t="shared" si="4"/>
        <v/>
      </c>
      <c r="I115" s="14" t="str">
        <f t="shared" si="2"/>
        <v>14/05</v>
      </c>
      <c r="J115" s="15" t="str">
        <f t="shared" si="3"/>
        <v>Nuit</v>
      </c>
    </row>
    <row r="116" ht="15.0" customHeight="1">
      <c r="A116" s="17">
        <v>46157.0</v>
      </c>
      <c r="B116" s="18" t="s">
        <v>67</v>
      </c>
      <c r="C116" s="18" t="s">
        <v>27</v>
      </c>
      <c r="D116" s="19">
        <v>0.214583333333333</v>
      </c>
      <c r="E116" s="19">
        <v>0.25</v>
      </c>
      <c r="F116" s="12" t="str">
        <f t="shared" si="1"/>
        <v>51</v>
      </c>
      <c r="G116" s="18" t="s">
        <v>23</v>
      </c>
      <c r="H116" s="12" t="str">
        <f t="shared" si="4"/>
        <v/>
      </c>
      <c r="I116" s="14" t="str">
        <f t="shared" si="2"/>
        <v>14/05</v>
      </c>
      <c r="J116" s="15" t="str">
        <f t="shared" si="3"/>
        <v>Nuit</v>
      </c>
    </row>
    <row r="117" ht="15.0" customHeight="1">
      <c r="A117" s="17">
        <v>46157.0</v>
      </c>
      <c r="B117" s="18" t="s">
        <v>54</v>
      </c>
      <c r="C117" s="18" t="s">
        <v>27</v>
      </c>
      <c r="D117" s="19">
        <v>0.253472222222222</v>
      </c>
      <c r="E117" s="19">
        <v>0.294444444444445</v>
      </c>
      <c r="F117" s="12" t="str">
        <f t="shared" si="1"/>
        <v>59</v>
      </c>
      <c r="G117" s="18" t="s">
        <v>23</v>
      </c>
      <c r="H117" s="12" t="str">
        <f t="shared" si="4"/>
        <v>5</v>
      </c>
      <c r="I117" s="14" t="str">
        <f t="shared" si="2"/>
        <v>15/05</v>
      </c>
      <c r="J117" s="15" t="str">
        <f t="shared" si="3"/>
        <v>Matin</v>
      </c>
    </row>
    <row r="118" ht="15.0" customHeight="1">
      <c r="A118" s="17">
        <v>46157.0</v>
      </c>
      <c r="B118" s="18" t="s">
        <v>54</v>
      </c>
      <c r="C118" s="18" t="s">
        <v>27</v>
      </c>
      <c r="D118" s="19">
        <v>0.305555555555556</v>
      </c>
      <c r="E118" s="19">
        <v>0.4375</v>
      </c>
      <c r="F118" s="12" t="str">
        <f t="shared" si="1"/>
        <v>190</v>
      </c>
      <c r="G118" s="18" t="s">
        <v>23</v>
      </c>
      <c r="H118" s="12" t="str">
        <f t="shared" si="4"/>
        <v/>
      </c>
      <c r="I118" s="14" t="str">
        <f t="shared" si="2"/>
        <v>15/05</v>
      </c>
      <c r="J118" s="15" t="str">
        <f t="shared" si="3"/>
        <v>Matin</v>
      </c>
    </row>
    <row r="119" ht="15.0" customHeight="1">
      <c r="A119" s="17">
        <v>46157.0</v>
      </c>
      <c r="B119" s="18" t="s">
        <v>54</v>
      </c>
      <c r="C119" s="18" t="s">
        <v>27</v>
      </c>
      <c r="D119" s="19">
        <v>0.444444444444444</v>
      </c>
      <c r="E119" s="19">
        <v>0.485416666666667</v>
      </c>
      <c r="F119" s="12" t="str">
        <f t="shared" si="1"/>
        <v>59</v>
      </c>
      <c r="G119" s="18" t="s">
        <v>23</v>
      </c>
      <c r="H119" s="12" t="str">
        <f t="shared" si="4"/>
        <v/>
      </c>
      <c r="I119" s="14" t="str">
        <f t="shared" si="2"/>
        <v>15/05</v>
      </c>
      <c r="J119" s="15" t="str">
        <f t="shared" si="3"/>
        <v>Matin</v>
      </c>
    </row>
    <row r="120" ht="15.0" customHeight="1">
      <c r="A120" s="17">
        <v>46157.0</v>
      </c>
      <c r="B120" s="18" t="s">
        <v>54</v>
      </c>
      <c r="C120" s="18" t="s">
        <v>27</v>
      </c>
      <c r="D120" s="19">
        <v>0.489583333333333</v>
      </c>
      <c r="E120" s="19">
        <v>0.560416666666667</v>
      </c>
      <c r="F120" s="12" t="str">
        <f t="shared" si="1"/>
        <v>102</v>
      </c>
      <c r="G120" s="18" t="s">
        <v>23</v>
      </c>
      <c r="H120" s="12" t="str">
        <f t="shared" si="4"/>
        <v/>
      </c>
      <c r="I120" s="14" t="str">
        <f t="shared" si="2"/>
        <v>15/05</v>
      </c>
      <c r="J120" s="15" t="str">
        <f t="shared" si="3"/>
        <v>Matin</v>
      </c>
    </row>
    <row r="121" ht="15.0" customHeight="1">
      <c r="A121" s="17">
        <v>46157.0</v>
      </c>
      <c r="B121" s="18" t="s">
        <v>54</v>
      </c>
      <c r="C121" s="18" t="s">
        <v>27</v>
      </c>
      <c r="D121" s="19">
        <v>0.568055555555556</v>
      </c>
      <c r="E121" s="19">
        <v>0.583333333333333</v>
      </c>
      <c r="F121" s="12" t="str">
        <f t="shared" si="1"/>
        <v>22</v>
      </c>
      <c r="G121" s="18" t="s">
        <v>23</v>
      </c>
      <c r="H121" s="12" t="str">
        <f t="shared" si="4"/>
        <v/>
      </c>
      <c r="I121" s="14" t="str">
        <f t="shared" si="2"/>
        <v>15/05</v>
      </c>
      <c r="J121" s="15" t="str">
        <f t="shared" si="3"/>
        <v>Matin</v>
      </c>
    </row>
    <row r="122" ht="15.0" customHeight="1">
      <c r="A122" s="17">
        <v>46157.0</v>
      </c>
      <c r="B122" s="18" t="s">
        <v>66</v>
      </c>
      <c r="C122" s="18" t="s">
        <v>27</v>
      </c>
      <c r="D122" s="19">
        <v>0.583333333333333</v>
      </c>
      <c r="E122" s="19">
        <v>0.590277777777778</v>
      </c>
      <c r="F122" s="12" t="str">
        <f t="shared" si="1"/>
        <v>10</v>
      </c>
      <c r="G122" s="18" t="s">
        <v>23</v>
      </c>
      <c r="H122" s="12" t="str">
        <f t="shared" si="4"/>
        <v>0</v>
      </c>
      <c r="I122" s="14" t="str">
        <f t="shared" si="2"/>
        <v>15/05</v>
      </c>
      <c r="J122" s="15" t="str">
        <f t="shared" si="3"/>
        <v>Après-midi</v>
      </c>
    </row>
    <row r="123" ht="15.0" customHeight="1">
      <c r="A123" s="17">
        <v>46157.0</v>
      </c>
      <c r="B123" s="18" t="s">
        <v>66</v>
      </c>
      <c r="C123" s="18" t="s">
        <v>27</v>
      </c>
      <c r="D123" s="19">
        <v>0.59375</v>
      </c>
      <c r="E123" s="19">
        <v>0.666666666666667</v>
      </c>
      <c r="F123" s="12" t="str">
        <f t="shared" si="1"/>
        <v>105</v>
      </c>
      <c r="G123" s="18" t="s">
        <v>65</v>
      </c>
      <c r="H123" s="12" t="str">
        <f t="shared" si="4"/>
        <v/>
      </c>
      <c r="I123" s="14" t="str">
        <f t="shared" si="2"/>
        <v>15/05</v>
      </c>
      <c r="J123" s="15" t="str">
        <f t="shared" si="3"/>
        <v>Après-midi</v>
      </c>
    </row>
    <row r="124" ht="15.0" customHeight="1">
      <c r="A124" s="17">
        <v>46157.0</v>
      </c>
      <c r="B124" s="18" t="s">
        <v>66</v>
      </c>
      <c r="C124" s="18" t="s">
        <v>27</v>
      </c>
      <c r="D124" s="19">
        <v>0.673611111111111</v>
      </c>
      <c r="E124" s="19">
        <v>0.774305555555556</v>
      </c>
      <c r="F124" s="12" t="str">
        <f t="shared" si="1"/>
        <v>145</v>
      </c>
      <c r="G124" s="18" t="s">
        <v>65</v>
      </c>
      <c r="H124" s="12" t="str">
        <f t="shared" si="4"/>
        <v/>
      </c>
      <c r="I124" s="14" t="str">
        <f t="shared" si="2"/>
        <v>15/05</v>
      </c>
      <c r="J124" s="15" t="str">
        <f t="shared" si="3"/>
        <v>Après-midi</v>
      </c>
    </row>
    <row r="125" ht="15.0" customHeight="1">
      <c r="A125" s="17">
        <v>46157.0</v>
      </c>
      <c r="B125" s="18" t="s">
        <v>66</v>
      </c>
      <c r="C125" s="18" t="s">
        <v>27</v>
      </c>
      <c r="D125" s="19">
        <v>0.78125</v>
      </c>
      <c r="E125" s="19">
        <v>0.822222222222222</v>
      </c>
      <c r="F125" s="12" t="str">
        <f t="shared" si="1"/>
        <v>59</v>
      </c>
      <c r="G125" s="18" t="s">
        <v>65</v>
      </c>
      <c r="H125" s="12" t="str">
        <f t="shared" si="4"/>
        <v/>
      </c>
      <c r="I125" s="14" t="str">
        <f t="shared" si="2"/>
        <v>15/05</v>
      </c>
      <c r="J125" s="15" t="str">
        <f t="shared" si="3"/>
        <v>Après-midi</v>
      </c>
    </row>
    <row r="126" ht="15.0" customHeight="1">
      <c r="A126" s="17">
        <v>46157.0</v>
      </c>
      <c r="B126" s="18" t="s">
        <v>66</v>
      </c>
      <c r="C126" s="18" t="s">
        <v>27</v>
      </c>
      <c r="D126" s="19">
        <v>0.826388888888889</v>
      </c>
      <c r="E126" s="19">
        <v>0.916666666666667</v>
      </c>
      <c r="F126" s="12" t="str">
        <f t="shared" si="1"/>
        <v>130</v>
      </c>
      <c r="G126" s="18" t="s">
        <v>23</v>
      </c>
      <c r="H126" s="12" t="str">
        <f t="shared" si="4"/>
        <v/>
      </c>
      <c r="I126" s="14" t="str">
        <f t="shared" si="2"/>
        <v>15/05</v>
      </c>
      <c r="J126" s="15" t="str">
        <f t="shared" si="3"/>
        <v>Après-midi</v>
      </c>
    </row>
    <row r="127" ht="15.0" customHeight="1">
      <c r="A127" s="20">
        <v>46158.0</v>
      </c>
      <c r="B127" s="21" t="s">
        <v>67</v>
      </c>
      <c r="C127" s="21" t="s">
        <v>27</v>
      </c>
      <c r="D127" s="22">
        <v>0.934027777777778</v>
      </c>
      <c r="E127" s="22">
        <v>0.0381944444444445</v>
      </c>
      <c r="F127" s="23" t="str">
        <f t="shared" si="1"/>
        <v>150</v>
      </c>
      <c r="G127" s="21" t="s">
        <v>23</v>
      </c>
      <c r="H127" s="12" t="str">
        <f t="shared" si="4"/>
        <v>25</v>
      </c>
      <c r="I127" s="14" t="str">
        <f t="shared" si="2"/>
        <v>16/05</v>
      </c>
      <c r="J127" s="15" t="str">
        <f t="shared" si="3"/>
        <v>Nuit</v>
      </c>
      <c r="K127" s="24"/>
    </row>
    <row r="128" ht="15.0" customHeight="1">
      <c r="A128" s="17">
        <v>46158.0</v>
      </c>
      <c r="B128" s="18" t="s">
        <v>67</v>
      </c>
      <c r="C128" s="18" t="s">
        <v>27</v>
      </c>
      <c r="D128" s="19">
        <v>0.0472222222222222</v>
      </c>
      <c r="E128" s="19">
        <v>0.127083333333333</v>
      </c>
      <c r="F128" s="12" t="str">
        <f t="shared" si="1"/>
        <v>115</v>
      </c>
      <c r="G128" s="18" t="s">
        <v>26</v>
      </c>
      <c r="H128" s="12" t="str">
        <f t="shared" si="4"/>
        <v/>
      </c>
      <c r="I128" s="14" t="str">
        <f t="shared" si="2"/>
        <v>15/05</v>
      </c>
      <c r="J128" s="15" t="str">
        <f t="shared" si="3"/>
        <v>Nuit</v>
      </c>
    </row>
    <row r="129" ht="15.0" customHeight="1">
      <c r="A129" s="17">
        <v>46158.0</v>
      </c>
      <c r="B129" s="18" t="s">
        <v>67</v>
      </c>
      <c r="C129" s="18" t="s">
        <v>27</v>
      </c>
      <c r="D129" s="19">
        <v>0.136111111111111</v>
      </c>
      <c r="E129" s="19">
        <v>0.163194444444444</v>
      </c>
      <c r="F129" s="12" t="str">
        <f t="shared" si="1"/>
        <v>39</v>
      </c>
      <c r="G129" s="18" t="s">
        <v>26</v>
      </c>
      <c r="H129" s="12" t="str">
        <f t="shared" si="4"/>
        <v/>
      </c>
      <c r="I129" s="14" t="str">
        <f t="shared" si="2"/>
        <v>15/05</v>
      </c>
      <c r="J129" s="15" t="str">
        <f t="shared" si="3"/>
        <v>Nuit</v>
      </c>
    </row>
    <row r="130" ht="15.0" customHeight="1">
      <c r="A130" s="17">
        <v>46158.0</v>
      </c>
      <c r="B130" s="18" t="s">
        <v>67</v>
      </c>
      <c r="C130" s="18" t="s">
        <v>27</v>
      </c>
      <c r="D130" s="19">
        <v>0.166666666666667</v>
      </c>
      <c r="E130" s="19">
        <v>0.25</v>
      </c>
      <c r="F130" s="12" t="str">
        <f t="shared" si="1"/>
        <v>120</v>
      </c>
      <c r="G130" s="18" t="s">
        <v>23</v>
      </c>
      <c r="H130" s="12" t="str">
        <f t="shared" si="4"/>
        <v/>
      </c>
      <c r="I130" s="14" t="str">
        <f t="shared" si="2"/>
        <v>15/05</v>
      </c>
      <c r="J130" s="15" t="str">
        <f t="shared" si="3"/>
        <v>Nuit</v>
      </c>
    </row>
    <row r="131" ht="15.0" customHeight="1">
      <c r="A131" s="17">
        <v>46158.0</v>
      </c>
      <c r="B131" s="18" t="s">
        <v>67</v>
      </c>
      <c r="C131" s="18" t="s">
        <v>27</v>
      </c>
      <c r="D131" s="19">
        <v>0.253472222222222</v>
      </c>
      <c r="E131" s="19">
        <v>0.350694444444444</v>
      </c>
      <c r="F131" s="12" t="str">
        <f t="shared" si="1"/>
        <v>140</v>
      </c>
      <c r="G131" s="18" t="s">
        <v>23</v>
      </c>
      <c r="H131" s="12" t="str">
        <f t="shared" si="4"/>
        <v/>
      </c>
      <c r="I131" s="14" t="str">
        <f t="shared" si="2"/>
        <v>16/05</v>
      </c>
      <c r="J131" s="15" t="str">
        <f t="shared" si="3"/>
        <v>Matin</v>
      </c>
    </row>
    <row r="132" ht="15.0" customHeight="1">
      <c r="A132" s="17">
        <v>46158.0</v>
      </c>
      <c r="B132" s="18" t="s">
        <v>67</v>
      </c>
      <c r="C132" s="18" t="s">
        <v>27</v>
      </c>
      <c r="D132" s="19">
        <v>0.359722222222222</v>
      </c>
      <c r="E132" s="19">
        <v>0.451388888888889</v>
      </c>
      <c r="F132" s="12" t="str">
        <f t="shared" si="1"/>
        <v>132</v>
      </c>
      <c r="G132" s="18" t="s">
        <v>68</v>
      </c>
      <c r="H132" s="12" t="str">
        <f t="shared" si="4"/>
        <v/>
      </c>
      <c r="I132" s="14" t="str">
        <f t="shared" si="2"/>
        <v>16/05</v>
      </c>
      <c r="J132" s="15" t="str">
        <f t="shared" si="3"/>
        <v>Matin</v>
      </c>
    </row>
    <row r="133" ht="15.0" customHeight="1">
      <c r="A133" s="17">
        <v>46158.0</v>
      </c>
      <c r="B133" s="18" t="s">
        <v>67</v>
      </c>
      <c r="C133" s="18" t="s">
        <v>27</v>
      </c>
      <c r="D133" s="19">
        <v>0.474305555555556</v>
      </c>
      <c r="E133" s="19">
        <v>0.540277777777778</v>
      </c>
      <c r="F133" s="12" t="str">
        <f t="shared" si="1"/>
        <v>95</v>
      </c>
      <c r="G133" s="18" t="s">
        <v>35</v>
      </c>
      <c r="H133" s="12" t="str">
        <f t="shared" si="4"/>
        <v/>
      </c>
      <c r="I133" s="14" t="str">
        <f t="shared" si="2"/>
        <v>16/05</v>
      </c>
      <c r="J133" s="15" t="str">
        <f t="shared" si="3"/>
        <v>Matin</v>
      </c>
    </row>
    <row r="134" ht="15.0" customHeight="1">
      <c r="A134" s="17">
        <v>46158.0</v>
      </c>
      <c r="B134" s="18" t="s">
        <v>67</v>
      </c>
      <c r="C134" s="18" t="s">
        <v>27</v>
      </c>
      <c r="D134" s="19">
        <v>0.549305555555556</v>
      </c>
      <c r="E134" s="19">
        <v>0.583333333333333</v>
      </c>
      <c r="F134" s="12" t="str">
        <f t="shared" si="1"/>
        <v>49</v>
      </c>
      <c r="G134" s="18" t="s">
        <v>23</v>
      </c>
      <c r="H134" s="12" t="str">
        <f t="shared" si="4"/>
        <v/>
      </c>
      <c r="I134" s="14" t="str">
        <f t="shared" si="2"/>
        <v>16/05</v>
      </c>
      <c r="J134" s="15" t="str">
        <f t="shared" si="3"/>
        <v>Matin</v>
      </c>
    </row>
    <row r="135" ht="15.0" customHeight="1">
      <c r="A135" s="17">
        <v>46158.0</v>
      </c>
      <c r="B135" s="18" t="s">
        <v>66</v>
      </c>
      <c r="C135" s="18" t="s">
        <v>27</v>
      </c>
      <c r="D135" s="19">
        <v>0.586805555555556</v>
      </c>
      <c r="E135" s="19">
        <v>0.665972222222222</v>
      </c>
      <c r="F135" s="12" t="str">
        <f t="shared" si="1"/>
        <v>114</v>
      </c>
      <c r="G135" s="18" t="s">
        <v>23</v>
      </c>
      <c r="H135" s="12" t="str">
        <f t="shared" si="4"/>
        <v>5</v>
      </c>
      <c r="I135" s="14" t="str">
        <f t="shared" si="2"/>
        <v>16/05</v>
      </c>
      <c r="J135" s="15" t="str">
        <f t="shared" si="3"/>
        <v>Après-midi</v>
      </c>
    </row>
    <row r="136" ht="15.0" customHeight="1">
      <c r="A136" s="17">
        <v>46158.0</v>
      </c>
      <c r="B136" s="18" t="s">
        <v>66</v>
      </c>
      <c r="C136" s="18" t="s">
        <v>27</v>
      </c>
      <c r="D136" s="19">
        <v>0.658333333333333</v>
      </c>
      <c r="E136" s="19">
        <v>0.725694444444444</v>
      </c>
      <c r="F136" s="12" t="str">
        <f t="shared" si="1"/>
        <v>97</v>
      </c>
      <c r="G136" s="18" t="s">
        <v>23</v>
      </c>
      <c r="H136" s="12" t="str">
        <f t="shared" si="4"/>
        <v/>
      </c>
      <c r="I136" s="14" t="str">
        <f t="shared" si="2"/>
        <v>16/05</v>
      </c>
      <c r="J136" s="15" t="str">
        <f t="shared" si="3"/>
        <v>Après-midi</v>
      </c>
    </row>
    <row r="137" ht="15.0" customHeight="1">
      <c r="A137" s="17">
        <v>46158.0</v>
      </c>
      <c r="B137" s="18" t="s">
        <v>66</v>
      </c>
      <c r="C137" s="18" t="s">
        <v>27</v>
      </c>
      <c r="D137" s="19">
        <v>0.733333333333333</v>
      </c>
      <c r="E137" s="19">
        <v>0.825694444444444</v>
      </c>
      <c r="F137" s="12" t="str">
        <f t="shared" si="1"/>
        <v>133</v>
      </c>
      <c r="G137" s="18" t="s">
        <v>23</v>
      </c>
      <c r="H137" s="12" t="str">
        <f t="shared" si="4"/>
        <v/>
      </c>
      <c r="I137" s="14" t="str">
        <f t="shared" si="2"/>
        <v>16/05</v>
      </c>
      <c r="J137" s="15" t="str">
        <f t="shared" si="3"/>
        <v>Après-midi</v>
      </c>
    </row>
    <row r="138" ht="15.0" customHeight="1">
      <c r="A138" s="17">
        <v>46158.0</v>
      </c>
      <c r="B138" s="18" t="s">
        <v>66</v>
      </c>
      <c r="C138" s="18" t="s">
        <v>27</v>
      </c>
      <c r="D138" s="19">
        <v>0.829166666666667</v>
      </c>
      <c r="E138" s="19">
        <v>0.916666666666667</v>
      </c>
      <c r="F138" s="12" t="str">
        <f t="shared" si="1"/>
        <v>126</v>
      </c>
      <c r="G138" s="18" t="s">
        <v>23</v>
      </c>
      <c r="H138" s="12" t="str">
        <f t="shared" si="4"/>
        <v/>
      </c>
      <c r="I138" s="14" t="str">
        <f t="shared" si="2"/>
        <v>16/05</v>
      </c>
      <c r="J138" s="15" t="str">
        <f t="shared" si="3"/>
        <v>Après-midi</v>
      </c>
    </row>
    <row r="139" ht="15.0" customHeight="1">
      <c r="A139" s="20">
        <v>46158.0</v>
      </c>
      <c r="B139" s="21" t="s">
        <v>54</v>
      </c>
      <c r="C139" s="21" t="s">
        <v>27</v>
      </c>
      <c r="D139" s="22">
        <v>0.920138888888889</v>
      </c>
      <c r="E139" s="22">
        <v>0.0</v>
      </c>
      <c r="F139" s="23" t="str">
        <f t="shared" si="1"/>
        <v>115</v>
      </c>
      <c r="G139" s="21" t="s">
        <v>26</v>
      </c>
      <c r="H139" s="12" t="str">
        <f t="shared" si="4"/>
        <v>5</v>
      </c>
      <c r="I139" s="14" t="str">
        <f t="shared" si="2"/>
        <v>16/05</v>
      </c>
      <c r="J139" s="15" t="str">
        <f t="shared" si="3"/>
        <v>Nuit</v>
      </c>
      <c r="K139" s="24"/>
    </row>
    <row r="140" ht="15.0" customHeight="1">
      <c r="A140" s="17">
        <v>46159.0</v>
      </c>
      <c r="B140" s="18" t="s">
        <v>54</v>
      </c>
      <c r="C140" s="18" t="s">
        <v>27</v>
      </c>
      <c r="D140" s="19">
        <v>0.00625</v>
      </c>
      <c r="E140" s="19">
        <v>0.0138888888888889</v>
      </c>
      <c r="F140" s="12" t="str">
        <f t="shared" si="1"/>
        <v>11</v>
      </c>
      <c r="G140" s="18" t="s">
        <v>69</v>
      </c>
      <c r="H140" s="12" t="str">
        <f t="shared" si="4"/>
        <v/>
      </c>
      <c r="I140" s="14" t="str">
        <f t="shared" si="2"/>
        <v>16/05</v>
      </c>
      <c r="J140" s="15" t="str">
        <f t="shared" si="3"/>
        <v>Nuit</v>
      </c>
    </row>
    <row r="141" ht="15.0" customHeight="1">
      <c r="A141" s="17">
        <v>46159.0</v>
      </c>
      <c r="B141" s="18" t="s">
        <v>54</v>
      </c>
      <c r="C141" s="18" t="s">
        <v>27</v>
      </c>
      <c r="D141" s="19">
        <v>0.0201388888888889</v>
      </c>
      <c r="E141" s="19">
        <v>0.0416666666666667</v>
      </c>
      <c r="F141" s="12" t="str">
        <f t="shared" si="1"/>
        <v>31</v>
      </c>
      <c r="G141" s="18" t="s">
        <v>26</v>
      </c>
      <c r="H141" s="12" t="str">
        <f t="shared" si="4"/>
        <v/>
      </c>
      <c r="I141" s="14" t="str">
        <f t="shared" si="2"/>
        <v>16/05</v>
      </c>
      <c r="J141" s="15" t="str">
        <f t="shared" si="3"/>
        <v>Nuit</v>
      </c>
    </row>
    <row r="142" ht="15.0" customHeight="1">
      <c r="A142" s="17">
        <v>46159.0</v>
      </c>
      <c r="B142" s="18" t="s">
        <v>54</v>
      </c>
      <c r="C142" s="18" t="s">
        <v>27</v>
      </c>
      <c r="D142" s="19">
        <v>0.0479166666666667</v>
      </c>
      <c r="E142" s="19">
        <v>0.0701388888888889</v>
      </c>
      <c r="F142" s="12" t="str">
        <f t="shared" si="1"/>
        <v>32</v>
      </c>
      <c r="G142" s="18" t="s">
        <v>70</v>
      </c>
      <c r="H142" s="12" t="str">
        <f t="shared" si="4"/>
        <v/>
      </c>
      <c r="I142" s="14" t="str">
        <f t="shared" si="2"/>
        <v>16/05</v>
      </c>
      <c r="J142" s="15" t="str">
        <f t="shared" si="3"/>
        <v>Nuit</v>
      </c>
    </row>
    <row r="143" ht="15.0" customHeight="1">
      <c r="A143" s="17">
        <v>46159.0</v>
      </c>
      <c r="B143" s="18" t="s">
        <v>54</v>
      </c>
      <c r="C143" s="18" t="s">
        <v>27</v>
      </c>
      <c r="D143" s="19">
        <v>0.0770833333333333</v>
      </c>
      <c r="E143" s="19">
        <v>0.15625</v>
      </c>
      <c r="F143" s="12" t="str">
        <f t="shared" si="1"/>
        <v>114</v>
      </c>
      <c r="G143" s="18" t="s">
        <v>26</v>
      </c>
      <c r="H143" s="12" t="str">
        <f t="shared" si="4"/>
        <v/>
      </c>
      <c r="I143" s="14" t="str">
        <f t="shared" si="2"/>
        <v>16/05</v>
      </c>
      <c r="J143" s="15" t="str">
        <f t="shared" si="3"/>
        <v>Nuit</v>
      </c>
    </row>
    <row r="144" ht="15.0" customHeight="1">
      <c r="A144" s="17">
        <v>46159.0</v>
      </c>
      <c r="B144" s="18" t="s">
        <v>54</v>
      </c>
      <c r="C144" s="18" t="s">
        <v>27</v>
      </c>
      <c r="D144" s="19">
        <v>0.165277777777778</v>
      </c>
      <c r="E144" s="19">
        <v>0.25</v>
      </c>
      <c r="F144" s="12" t="str">
        <f t="shared" si="1"/>
        <v>122</v>
      </c>
      <c r="G144" s="18" t="s">
        <v>23</v>
      </c>
      <c r="H144" s="12" t="str">
        <f t="shared" si="4"/>
        <v/>
      </c>
      <c r="I144" s="14" t="str">
        <f t="shared" si="2"/>
        <v>16/05</v>
      </c>
      <c r="J144" s="15" t="str">
        <f t="shared" si="3"/>
        <v>Nuit</v>
      </c>
    </row>
    <row r="145" ht="15.0" customHeight="1">
      <c r="A145" s="17">
        <v>46160.0</v>
      </c>
      <c r="B145" s="18" t="s">
        <v>66</v>
      </c>
      <c r="C145" s="18" t="s">
        <v>27</v>
      </c>
      <c r="D145" s="19">
        <v>0.253472222222222</v>
      </c>
      <c r="E145" s="19">
        <v>0.286111111111111</v>
      </c>
      <c r="F145" s="12" t="str">
        <f t="shared" si="1"/>
        <v>47</v>
      </c>
      <c r="G145" s="18" t="s">
        <v>65</v>
      </c>
      <c r="H145" s="12" t="str">
        <f t="shared" si="4"/>
        <v>5</v>
      </c>
      <c r="I145" s="14" t="str">
        <f t="shared" si="2"/>
        <v>18/05</v>
      </c>
      <c r="J145" s="15" t="str">
        <f t="shared" si="3"/>
        <v>Matin</v>
      </c>
    </row>
    <row r="146" ht="15.0" customHeight="1">
      <c r="A146" s="17">
        <v>46160.0</v>
      </c>
      <c r="B146" s="18" t="s">
        <v>66</v>
      </c>
      <c r="C146" s="18" t="s">
        <v>27</v>
      </c>
      <c r="D146" s="19">
        <v>0.295138888888889</v>
      </c>
      <c r="E146" s="19">
        <v>0.3125</v>
      </c>
      <c r="F146" s="12" t="str">
        <f t="shared" si="1"/>
        <v>25</v>
      </c>
      <c r="G146" s="18" t="s">
        <v>65</v>
      </c>
      <c r="H146" s="12" t="str">
        <f t="shared" si="4"/>
        <v/>
      </c>
      <c r="I146" s="14" t="str">
        <f t="shared" si="2"/>
        <v>18/05</v>
      </c>
      <c r="J146" s="15" t="str">
        <f t="shared" si="3"/>
        <v>Matin</v>
      </c>
    </row>
    <row r="147" ht="15.0" customHeight="1">
      <c r="A147" s="17">
        <v>46160.0</v>
      </c>
      <c r="B147" s="18" t="s">
        <v>66</v>
      </c>
      <c r="C147" s="18" t="s">
        <v>27</v>
      </c>
      <c r="D147" s="19">
        <v>0.29375</v>
      </c>
      <c r="E147" s="19">
        <v>0.409722222222222</v>
      </c>
      <c r="F147" s="12" t="str">
        <f t="shared" si="1"/>
        <v>167</v>
      </c>
      <c r="G147" s="18" t="s">
        <v>23</v>
      </c>
      <c r="H147" s="12" t="str">
        <f t="shared" si="4"/>
        <v/>
      </c>
      <c r="I147" s="14" t="str">
        <f t="shared" si="2"/>
        <v>18/05</v>
      </c>
      <c r="J147" s="15" t="str">
        <f t="shared" si="3"/>
        <v>Matin</v>
      </c>
    </row>
    <row r="148" ht="15.0" customHeight="1">
      <c r="A148" s="17">
        <v>46160.0</v>
      </c>
      <c r="B148" s="18" t="s">
        <v>66</v>
      </c>
      <c r="C148" s="18" t="s">
        <v>27</v>
      </c>
      <c r="D148" s="19">
        <v>0.413194444444444</v>
      </c>
      <c r="E148" s="19">
        <v>0.458333333333333</v>
      </c>
      <c r="F148" s="12" t="str">
        <f t="shared" si="1"/>
        <v>65</v>
      </c>
      <c r="G148" s="18" t="s">
        <v>65</v>
      </c>
      <c r="H148" s="12" t="str">
        <f t="shared" si="4"/>
        <v/>
      </c>
      <c r="I148" s="14" t="str">
        <f t="shared" si="2"/>
        <v>18/05</v>
      </c>
      <c r="J148" s="15" t="str">
        <f t="shared" si="3"/>
        <v>Matin</v>
      </c>
    </row>
    <row r="149" ht="15.0" customHeight="1">
      <c r="A149" s="17">
        <v>46160.0</v>
      </c>
      <c r="B149" s="18" t="s">
        <v>66</v>
      </c>
      <c r="C149" s="18" t="s">
        <v>27</v>
      </c>
      <c r="D149" s="19">
        <v>0.475694444444444</v>
      </c>
      <c r="E149" s="19">
        <v>0.496527777777778</v>
      </c>
      <c r="F149" s="12" t="str">
        <f t="shared" si="1"/>
        <v>30</v>
      </c>
      <c r="G149" s="18" t="s">
        <v>23</v>
      </c>
      <c r="H149" s="12" t="str">
        <f t="shared" si="4"/>
        <v/>
      </c>
      <c r="I149" s="14" t="str">
        <f t="shared" si="2"/>
        <v>18/05</v>
      </c>
      <c r="J149" s="15" t="str">
        <f t="shared" si="3"/>
        <v>Matin</v>
      </c>
    </row>
    <row r="150" ht="15.0" customHeight="1">
      <c r="A150" s="17">
        <v>46160.0</v>
      </c>
      <c r="B150" s="18" t="s">
        <v>66</v>
      </c>
      <c r="C150" s="18" t="s">
        <v>27</v>
      </c>
      <c r="D150" s="19">
        <v>0.506944444444444</v>
      </c>
      <c r="E150" s="19">
        <v>0.583333333333333</v>
      </c>
      <c r="F150" s="12" t="str">
        <f t="shared" si="1"/>
        <v>110</v>
      </c>
      <c r="G150" s="18" t="s">
        <v>23</v>
      </c>
      <c r="H150" s="12" t="str">
        <f t="shared" si="4"/>
        <v/>
      </c>
      <c r="I150" s="14" t="str">
        <f t="shared" si="2"/>
        <v>18/05</v>
      </c>
      <c r="J150" s="15" t="str">
        <f t="shared" si="3"/>
        <v>Matin</v>
      </c>
    </row>
    <row r="151" ht="15.0" customHeight="1">
      <c r="A151" s="17">
        <v>46160.0</v>
      </c>
      <c r="B151" s="18" t="s">
        <v>54</v>
      </c>
      <c r="C151" s="18" t="s">
        <v>27</v>
      </c>
      <c r="D151" s="19">
        <v>0.585416666666667</v>
      </c>
      <c r="E151" s="19">
        <v>0.604166666666667</v>
      </c>
      <c r="F151" s="12" t="str">
        <f t="shared" si="1"/>
        <v>27</v>
      </c>
      <c r="G151" s="18" t="s">
        <v>65</v>
      </c>
      <c r="H151" s="12" t="str">
        <f t="shared" si="4"/>
        <v>3</v>
      </c>
      <c r="I151" s="14" t="str">
        <f t="shared" si="2"/>
        <v>18/05</v>
      </c>
      <c r="J151" s="15" t="str">
        <f t="shared" si="3"/>
        <v>Après-midi</v>
      </c>
    </row>
    <row r="152" ht="15.0" customHeight="1">
      <c r="A152" s="17">
        <v>46160.0</v>
      </c>
      <c r="B152" s="18" t="s">
        <v>54</v>
      </c>
      <c r="C152" s="18" t="s">
        <v>27</v>
      </c>
      <c r="D152" s="19">
        <v>0.611111111111111</v>
      </c>
      <c r="E152" s="19">
        <v>0.729166666666667</v>
      </c>
      <c r="F152" s="12" t="str">
        <f t="shared" si="1"/>
        <v>170</v>
      </c>
      <c r="G152" s="18" t="s">
        <v>23</v>
      </c>
      <c r="H152" s="12" t="str">
        <f t="shared" si="4"/>
        <v/>
      </c>
      <c r="I152" s="14" t="str">
        <f t="shared" si="2"/>
        <v>18/05</v>
      </c>
      <c r="J152" s="15" t="str">
        <f t="shared" si="3"/>
        <v>Après-midi</v>
      </c>
    </row>
    <row r="153" ht="15.0" customHeight="1">
      <c r="A153" s="17">
        <v>46160.0</v>
      </c>
      <c r="B153" s="18" t="s">
        <v>54</v>
      </c>
      <c r="C153" s="18" t="s">
        <v>27</v>
      </c>
      <c r="D153" s="19">
        <v>0.746527777777778</v>
      </c>
      <c r="E153" s="19">
        <v>0.875694444444444</v>
      </c>
      <c r="F153" s="12" t="str">
        <f t="shared" si="1"/>
        <v>186</v>
      </c>
      <c r="G153" s="18" t="s">
        <v>23</v>
      </c>
      <c r="H153" s="12" t="str">
        <f t="shared" si="4"/>
        <v/>
      </c>
      <c r="I153" s="14" t="str">
        <f t="shared" si="2"/>
        <v>18/05</v>
      </c>
      <c r="J153" s="15" t="str">
        <f t="shared" si="3"/>
        <v>Après-midi</v>
      </c>
    </row>
    <row r="154" ht="15.0" customHeight="1">
      <c r="A154" s="17">
        <v>46160.0</v>
      </c>
      <c r="B154" s="18" t="s">
        <v>54</v>
      </c>
      <c r="C154" s="18" t="s">
        <v>27</v>
      </c>
      <c r="D154" s="19">
        <v>0.885416666666667</v>
      </c>
      <c r="E154" s="19">
        <v>0.916666666666667</v>
      </c>
      <c r="F154" s="12" t="str">
        <f t="shared" si="1"/>
        <v>45</v>
      </c>
      <c r="G154" s="18" t="s">
        <v>23</v>
      </c>
      <c r="H154" s="12" t="str">
        <f t="shared" si="4"/>
        <v/>
      </c>
      <c r="I154" s="14" t="str">
        <f t="shared" si="2"/>
        <v>18/05</v>
      </c>
      <c r="J154" s="15" t="str">
        <f t="shared" si="3"/>
        <v>Après-midi</v>
      </c>
    </row>
    <row r="155" ht="15.0" customHeight="1">
      <c r="A155" s="17">
        <v>46160.0</v>
      </c>
      <c r="B155" s="18" t="s">
        <v>67</v>
      </c>
      <c r="C155" s="18" t="s">
        <v>27</v>
      </c>
      <c r="D155" s="19">
        <v>0.923611111111111</v>
      </c>
      <c r="E155" s="19">
        <v>0.946527777777778</v>
      </c>
      <c r="F155" s="12" t="str">
        <f t="shared" si="1"/>
        <v>33</v>
      </c>
      <c r="G155" s="18" t="s">
        <v>32</v>
      </c>
      <c r="H155" s="12" t="str">
        <f t="shared" si="4"/>
        <v>10</v>
      </c>
      <c r="I155" s="14" t="str">
        <f t="shared" si="2"/>
        <v>18/05</v>
      </c>
      <c r="J155" s="15" t="str">
        <f t="shared" si="3"/>
        <v>Nuit</v>
      </c>
    </row>
    <row r="156" ht="15.0" customHeight="1">
      <c r="A156" s="17">
        <v>46160.0</v>
      </c>
      <c r="B156" s="18" t="s">
        <v>67</v>
      </c>
      <c r="C156" s="18" t="s">
        <v>27</v>
      </c>
      <c r="D156" s="19">
        <v>0.953472222222222</v>
      </c>
      <c r="E156" s="19">
        <v>0.977777777777778</v>
      </c>
      <c r="F156" s="12" t="str">
        <f t="shared" si="1"/>
        <v>35</v>
      </c>
      <c r="G156" s="18" t="s">
        <v>32</v>
      </c>
      <c r="H156" s="12" t="str">
        <f t="shared" si="4"/>
        <v/>
      </c>
      <c r="I156" s="14" t="str">
        <f t="shared" si="2"/>
        <v>18/05</v>
      </c>
      <c r="J156" s="15" t="str">
        <f t="shared" si="3"/>
        <v>Nuit</v>
      </c>
    </row>
    <row r="157" ht="15.0" customHeight="1">
      <c r="A157" s="20">
        <v>46160.0</v>
      </c>
      <c r="B157" s="21" t="s">
        <v>67</v>
      </c>
      <c r="C157" s="21" t="s">
        <v>27</v>
      </c>
      <c r="D157" s="22">
        <v>0.98125</v>
      </c>
      <c r="E157" s="22">
        <v>0.0638888888888889</v>
      </c>
      <c r="F157" s="23" t="str">
        <f t="shared" si="1"/>
        <v>119</v>
      </c>
      <c r="G157" s="21" t="s">
        <v>23</v>
      </c>
      <c r="H157" s="12" t="str">
        <f t="shared" si="4"/>
        <v/>
      </c>
      <c r="I157" s="14" t="str">
        <f t="shared" si="2"/>
        <v>18/05</v>
      </c>
      <c r="J157" s="15" t="str">
        <f t="shared" si="3"/>
        <v>Nuit</v>
      </c>
      <c r="K157" s="24"/>
    </row>
    <row r="158" ht="15.0" customHeight="1">
      <c r="A158" s="17">
        <v>46161.0</v>
      </c>
      <c r="B158" s="18" t="s">
        <v>67</v>
      </c>
      <c r="C158" s="18" t="s">
        <v>27</v>
      </c>
      <c r="D158" s="19">
        <v>0.0763888888888889</v>
      </c>
      <c r="E158" s="19">
        <v>0.145833333333333</v>
      </c>
      <c r="F158" s="12" t="str">
        <f t="shared" si="1"/>
        <v>100</v>
      </c>
      <c r="G158" s="18" t="s">
        <v>23</v>
      </c>
      <c r="H158" s="12" t="str">
        <f t="shared" si="4"/>
        <v/>
      </c>
      <c r="I158" s="14" t="str">
        <f t="shared" si="2"/>
        <v>18/05</v>
      </c>
      <c r="J158" s="15" t="str">
        <f t="shared" si="3"/>
        <v>Nuit</v>
      </c>
    </row>
    <row r="159" ht="15.0" customHeight="1">
      <c r="A159" s="17">
        <v>46161.0</v>
      </c>
      <c r="B159" s="18" t="s">
        <v>67</v>
      </c>
      <c r="C159" s="18" t="s">
        <v>27</v>
      </c>
      <c r="D159" s="19">
        <v>0.152777777777778</v>
      </c>
      <c r="E159" s="19">
        <v>0.25</v>
      </c>
      <c r="F159" s="12" t="str">
        <f t="shared" si="1"/>
        <v>140</v>
      </c>
      <c r="G159" s="18" t="s">
        <v>23</v>
      </c>
      <c r="H159" s="12" t="str">
        <f t="shared" si="4"/>
        <v/>
      </c>
      <c r="I159" s="14" t="str">
        <f t="shared" si="2"/>
        <v>18/05</v>
      </c>
      <c r="J159" s="15" t="str">
        <f t="shared" si="3"/>
        <v>Nuit</v>
      </c>
    </row>
    <row r="160" ht="15.0" customHeight="1">
      <c r="A160" s="17">
        <v>46161.0</v>
      </c>
      <c r="B160" s="18" t="s">
        <v>66</v>
      </c>
      <c r="C160" s="18" t="s">
        <v>27</v>
      </c>
      <c r="D160" s="19">
        <v>0.253472222222222</v>
      </c>
      <c r="E160" s="19">
        <v>0.291666666666667</v>
      </c>
      <c r="F160" s="12" t="str">
        <f t="shared" si="1"/>
        <v>55</v>
      </c>
      <c r="G160" s="18" t="s">
        <v>65</v>
      </c>
      <c r="H160" s="12" t="str">
        <f t="shared" si="4"/>
        <v>5</v>
      </c>
      <c r="I160" s="14" t="str">
        <f t="shared" si="2"/>
        <v>19/05</v>
      </c>
      <c r="J160" s="15" t="str">
        <f t="shared" si="3"/>
        <v>Matin</v>
      </c>
    </row>
    <row r="161" ht="15.0" customHeight="1">
      <c r="A161" s="17">
        <v>46161.0</v>
      </c>
      <c r="B161" s="18" t="s">
        <v>66</v>
      </c>
      <c r="C161" s="18" t="s">
        <v>27</v>
      </c>
      <c r="D161" s="19">
        <v>0.298611111111111</v>
      </c>
      <c r="E161" s="19">
        <v>0.354166666666667</v>
      </c>
      <c r="F161" s="12" t="str">
        <f t="shared" si="1"/>
        <v>80</v>
      </c>
      <c r="G161" s="18" t="s">
        <v>65</v>
      </c>
      <c r="H161" s="12" t="str">
        <f t="shared" si="4"/>
        <v/>
      </c>
      <c r="I161" s="14" t="str">
        <f t="shared" si="2"/>
        <v>19/05</v>
      </c>
      <c r="J161" s="15" t="str">
        <f t="shared" si="3"/>
        <v>Matin</v>
      </c>
    </row>
    <row r="162" ht="15.0" customHeight="1">
      <c r="A162" s="17">
        <v>46161.0</v>
      </c>
      <c r="B162" s="18" t="s">
        <v>66</v>
      </c>
      <c r="C162" s="18" t="s">
        <v>27</v>
      </c>
      <c r="D162" s="19">
        <v>0.374305555555556</v>
      </c>
      <c r="E162" s="19">
        <v>0.479861111111111</v>
      </c>
      <c r="F162" s="12" t="str">
        <f t="shared" si="1"/>
        <v>152</v>
      </c>
      <c r="G162" s="18" t="s">
        <v>65</v>
      </c>
      <c r="H162" s="12" t="str">
        <f t="shared" si="4"/>
        <v/>
      </c>
      <c r="I162" s="14" t="str">
        <f t="shared" si="2"/>
        <v>19/05</v>
      </c>
      <c r="J162" s="15" t="str">
        <f t="shared" si="3"/>
        <v>Matin</v>
      </c>
    </row>
    <row r="163" ht="15.0" customHeight="1">
      <c r="A163" s="17">
        <v>46161.0</v>
      </c>
      <c r="B163" s="18" t="s">
        <v>66</v>
      </c>
      <c r="C163" s="18" t="s">
        <v>27</v>
      </c>
      <c r="D163" s="19">
        <v>0.484722222222222</v>
      </c>
      <c r="E163" s="19">
        <v>0.572916666666667</v>
      </c>
      <c r="F163" s="12" t="str">
        <f t="shared" si="1"/>
        <v>127</v>
      </c>
      <c r="G163" s="18" t="s">
        <v>23</v>
      </c>
      <c r="H163" s="12" t="str">
        <f t="shared" si="4"/>
        <v/>
      </c>
      <c r="I163" s="14" t="str">
        <f t="shared" si="2"/>
        <v>19/05</v>
      </c>
      <c r="J163" s="15" t="str">
        <f t="shared" si="3"/>
        <v>Matin</v>
      </c>
    </row>
    <row r="164" ht="15.0" customHeight="1">
      <c r="A164" s="17">
        <v>46161.0</v>
      </c>
      <c r="B164" s="18" t="s">
        <v>54</v>
      </c>
      <c r="C164" s="18" t="s">
        <v>27</v>
      </c>
      <c r="D164" s="19">
        <v>0.583333333333333</v>
      </c>
      <c r="E164" s="19">
        <v>0.6875</v>
      </c>
      <c r="F164" s="12" t="str">
        <f t="shared" si="1"/>
        <v>150</v>
      </c>
      <c r="G164" s="18" t="s">
        <v>23</v>
      </c>
      <c r="H164" s="12" t="str">
        <f t="shared" si="4"/>
        <v>15</v>
      </c>
      <c r="I164" s="14" t="str">
        <f t="shared" si="2"/>
        <v>19/05</v>
      </c>
      <c r="J164" s="15" t="str">
        <f t="shared" si="3"/>
        <v>Après-midi</v>
      </c>
    </row>
    <row r="165" ht="15.0" customHeight="1">
      <c r="A165" s="17">
        <v>46161.0</v>
      </c>
      <c r="B165" s="18" t="s">
        <v>54</v>
      </c>
      <c r="C165" s="18" t="s">
        <v>27</v>
      </c>
      <c r="D165" s="19">
        <v>0.708333333333333</v>
      </c>
      <c r="E165" s="19">
        <v>0.722916666666667</v>
      </c>
      <c r="F165" s="12" t="str">
        <f t="shared" si="1"/>
        <v>21</v>
      </c>
      <c r="G165" s="18" t="s">
        <v>32</v>
      </c>
      <c r="H165" s="12" t="str">
        <f t="shared" si="4"/>
        <v/>
      </c>
      <c r="I165" s="14" t="str">
        <f t="shared" si="2"/>
        <v>19/05</v>
      </c>
      <c r="J165" s="15" t="str">
        <f t="shared" si="3"/>
        <v>Après-midi</v>
      </c>
    </row>
    <row r="166" ht="15.0" customHeight="1">
      <c r="A166" s="17">
        <v>46161.0</v>
      </c>
      <c r="B166" s="18" t="s">
        <v>54</v>
      </c>
      <c r="C166" s="18" t="s">
        <v>27</v>
      </c>
      <c r="D166" s="19">
        <v>0.73125</v>
      </c>
      <c r="E166" s="19">
        <v>0.854166666666667</v>
      </c>
      <c r="F166" s="12" t="str">
        <f t="shared" si="1"/>
        <v>177</v>
      </c>
      <c r="G166" s="18" t="s">
        <v>23</v>
      </c>
      <c r="H166" s="12" t="str">
        <f t="shared" si="4"/>
        <v/>
      </c>
      <c r="I166" s="14" t="str">
        <f t="shared" si="2"/>
        <v>19/05</v>
      </c>
      <c r="J166" s="15" t="str">
        <f t="shared" si="3"/>
        <v>Après-midi</v>
      </c>
    </row>
    <row r="167" ht="15.0" customHeight="1">
      <c r="A167" s="17">
        <v>46161.0</v>
      </c>
      <c r="B167" s="18" t="s">
        <v>54</v>
      </c>
      <c r="C167" s="18" t="s">
        <v>27</v>
      </c>
      <c r="D167" s="19">
        <v>0.854166666666667</v>
      </c>
      <c r="E167" s="19">
        <v>0.916666666666667</v>
      </c>
      <c r="F167" s="12" t="str">
        <f t="shared" si="1"/>
        <v>90</v>
      </c>
      <c r="G167" s="18" t="s">
        <v>23</v>
      </c>
      <c r="H167" s="12" t="str">
        <f t="shared" si="4"/>
        <v/>
      </c>
      <c r="I167" s="14" t="str">
        <f t="shared" si="2"/>
        <v>19/05</v>
      </c>
      <c r="J167" s="15" t="str">
        <f t="shared" si="3"/>
        <v>Après-midi</v>
      </c>
    </row>
    <row r="168" ht="15.0" customHeight="1">
      <c r="A168" s="20">
        <v>46161.0</v>
      </c>
      <c r="B168" s="21" t="s">
        <v>67</v>
      </c>
      <c r="C168" s="21" t="s">
        <v>27</v>
      </c>
      <c r="D168" s="22">
        <v>0.921527777777778</v>
      </c>
      <c r="E168" s="22">
        <v>0.0243055555555556</v>
      </c>
      <c r="F168" s="23" t="str">
        <f t="shared" si="1"/>
        <v>148</v>
      </c>
      <c r="G168" s="21" t="s">
        <v>23</v>
      </c>
      <c r="H168" s="12" t="str">
        <f t="shared" si="4"/>
        <v>7</v>
      </c>
      <c r="I168" s="14" t="str">
        <f t="shared" si="2"/>
        <v>19/05</v>
      </c>
      <c r="J168" s="15" t="str">
        <f t="shared" si="3"/>
        <v>Nuit</v>
      </c>
      <c r="K168" s="24"/>
    </row>
    <row r="169" ht="15.0" customHeight="1">
      <c r="A169" s="17">
        <v>46162.0</v>
      </c>
      <c r="B169" s="18" t="s">
        <v>67</v>
      </c>
      <c r="C169" s="18" t="s">
        <v>27</v>
      </c>
      <c r="D169" s="19">
        <v>0.0326388888888889</v>
      </c>
      <c r="E169" s="19">
        <v>0.101388888888889</v>
      </c>
      <c r="F169" s="12" t="str">
        <f t="shared" si="1"/>
        <v>99</v>
      </c>
      <c r="G169" s="18" t="s">
        <v>23</v>
      </c>
      <c r="H169" s="12" t="str">
        <f t="shared" si="4"/>
        <v/>
      </c>
      <c r="I169" s="14" t="str">
        <f t="shared" si="2"/>
        <v>19/05</v>
      </c>
      <c r="J169" s="15" t="str">
        <f t="shared" si="3"/>
        <v>Nuit</v>
      </c>
    </row>
    <row r="170" ht="15.0" customHeight="1">
      <c r="A170" s="17">
        <v>46162.0</v>
      </c>
      <c r="B170" s="18" t="s">
        <v>67</v>
      </c>
      <c r="C170" s="18" t="s">
        <v>27</v>
      </c>
      <c r="D170" s="19">
        <v>0.0972222222222222</v>
      </c>
      <c r="E170" s="19">
        <v>0.1625</v>
      </c>
      <c r="F170" s="12" t="str">
        <f t="shared" si="1"/>
        <v>94</v>
      </c>
      <c r="G170" s="18" t="s">
        <v>23</v>
      </c>
      <c r="H170" s="12" t="str">
        <f t="shared" si="4"/>
        <v/>
      </c>
      <c r="I170" s="14" t="str">
        <f t="shared" si="2"/>
        <v>19/05</v>
      </c>
      <c r="J170" s="15" t="str">
        <f t="shared" si="3"/>
        <v>Nuit</v>
      </c>
    </row>
    <row r="171" ht="15.0" customHeight="1">
      <c r="A171" s="17">
        <v>46162.0</v>
      </c>
      <c r="B171" s="18" t="s">
        <v>67</v>
      </c>
      <c r="C171" s="18" t="s">
        <v>27</v>
      </c>
      <c r="D171" s="19">
        <v>0.173611111111111</v>
      </c>
      <c r="E171" s="19">
        <v>0.25</v>
      </c>
      <c r="F171" s="12" t="str">
        <f t="shared" si="1"/>
        <v>110</v>
      </c>
      <c r="G171" s="18" t="s">
        <v>23</v>
      </c>
      <c r="H171" s="12" t="str">
        <f t="shared" si="4"/>
        <v/>
      </c>
      <c r="I171" s="14" t="str">
        <f t="shared" si="2"/>
        <v>19/05</v>
      </c>
      <c r="J171" s="15" t="str">
        <f t="shared" si="3"/>
        <v>Nuit</v>
      </c>
    </row>
    <row r="172" ht="15.0" customHeight="1">
      <c r="A172" s="17">
        <v>46162.0</v>
      </c>
      <c r="B172" s="18" t="s">
        <v>66</v>
      </c>
      <c r="C172" s="18" t="s">
        <v>27</v>
      </c>
      <c r="D172" s="19">
        <v>0.254861111111111</v>
      </c>
      <c r="E172" s="19">
        <v>0.364583333333333</v>
      </c>
      <c r="F172" s="12" t="str">
        <f t="shared" si="1"/>
        <v>158</v>
      </c>
      <c r="G172" s="18" t="s">
        <v>23</v>
      </c>
      <c r="H172" s="12" t="str">
        <f t="shared" si="4"/>
        <v>7</v>
      </c>
      <c r="I172" s="14" t="str">
        <f t="shared" si="2"/>
        <v>20/05</v>
      </c>
      <c r="J172" s="15" t="str">
        <f t="shared" si="3"/>
        <v>Matin</v>
      </c>
    </row>
    <row r="173" ht="15.0" customHeight="1">
      <c r="A173" s="17">
        <v>46162.0</v>
      </c>
      <c r="B173" s="18" t="s">
        <v>66</v>
      </c>
      <c r="C173" s="18" t="s">
        <v>27</v>
      </c>
      <c r="D173" s="19">
        <v>0.371527777777778</v>
      </c>
      <c r="E173" s="19">
        <v>0.474305555555556</v>
      </c>
      <c r="F173" s="12" t="str">
        <f t="shared" si="1"/>
        <v>148</v>
      </c>
      <c r="G173" s="18" t="s">
        <v>71</v>
      </c>
      <c r="H173" s="12" t="str">
        <f t="shared" si="4"/>
        <v/>
      </c>
      <c r="I173" s="14" t="str">
        <f t="shared" si="2"/>
        <v>20/05</v>
      </c>
      <c r="J173" s="15" t="str">
        <f t="shared" si="3"/>
        <v>Matin</v>
      </c>
    </row>
    <row r="174" ht="15.0" customHeight="1">
      <c r="A174" s="17">
        <v>46162.0</v>
      </c>
      <c r="B174" s="18" t="s">
        <v>66</v>
      </c>
      <c r="C174" s="18" t="s">
        <v>27</v>
      </c>
      <c r="D174" s="19">
        <v>0.479166666666667</v>
      </c>
      <c r="E174" s="19">
        <v>0.576388888888889</v>
      </c>
      <c r="F174" s="12" t="str">
        <f t="shared" si="1"/>
        <v>140</v>
      </c>
      <c r="G174" s="18" t="s">
        <v>23</v>
      </c>
      <c r="H174" s="12" t="str">
        <f t="shared" si="4"/>
        <v/>
      </c>
      <c r="I174" s="14" t="str">
        <f t="shared" si="2"/>
        <v>20/05</v>
      </c>
      <c r="J174" s="15" t="str">
        <f t="shared" si="3"/>
        <v>Matin</v>
      </c>
    </row>
    <row r="175" ht="15.0" customHeight="1">
      <c r="A175" s="17">
        <v>46162.0</v>
      </c>
      <c r="B175" s="18" t="s">
        <v>54</v>
      </c>
      <c r="C175" s="18" t="s">
        <v>27</v>
      </c>
      <c r="D175" s="19">
        <v>0.583333333333333</v>
      </c>
      <c r="E175" s="19">
        <v>0.6875</v>
      </c>
      <c r="F175" s="12" t="str">
        <f t="shared" si="1"/>
        <v>150</v>
      </c>
      <c r="G175" s="18" t="s">
        <v>23</v>
      </c>
      <c r="H175" s="12" t="str">
        <f t="shared" si="4"/>
        <v>10</v>
      </c>
      <c r="I175" s="14" t="str">
        <f t="shared" si="2"/>
        <v>20/05</v>
      </c>
      <c r="J175" s="15" t="str">
        <f t="shared" si="3"/>
        <v>Après-midi</v>
      </c>
    </row>
    <row r="176" ht="15.0" customHeight="1">
      <c r="A176" s="17">
        <v>46162.0</v>
      </c>
      <c r="B176" s="18" t="s">
        <v>54</v>
      </c>
      <c r="C176" s="18" t="s">
        <v>27</v>
      </c>
      <c r="D176" s="19">
        <v>0.697916666666667</v>
      </c>
      <c r="E176" s="19">
        <v>0.850694444444444</v>
      </c>
      <c r="F176" s="12" t="str">
        <f t="shared" si="1"/>
        <v>220</v>
      </c>
      <c r="G176" s="18" t="s">
        <v>23</v>
      </c>
      <c r="H176" s="12" t="str">
        <f t="shared" si="4"/>
        <v/>
      </c>
      <c r="I176" s="14" t="str">
        <f t="shared" si="2"/>
        <v>20/05</v>
      </c>
      <c r="J176" s="15" t="str">
        <f t="shared" si="3"/>
        <v>Après-midi</v>
      </c>
    </row>
    <row r="177" ht="15.0" customHeight="1">
      <c r="A177" s="17">
        <v>46162.0</v>
      </c>
      <c r="B177" s="18" t="s">
        <v>54</v>
      </c>
      <c r="C177" s="18" t="s">
        <v>27</v>
      </c>
      <c r="D177" s="19">
        <v>0.861111111111111</v>
      </c>
      <c r="E177" s="19">
        <v>0.875694444444444</v>
      </c>
      <c r="F177" s="12" t="str">
        <f t="shared" si="1"/>
        <v>21</v>
      </c>
      <c r="G177" s="18" t="s">
        <v>23</v>
      </c>
      <c r="H177" s="12" t="str">
        <f t="shared" si="4"/>
        <v/>
      </c>
      <c r="I177" s="14" t="str">
        <f t="shared" si="2"/>
        <v>20/05</v>
      </c>
      <c r="J177" s="15" t="str">
        <f t="shared" si="3"/>
        <v>Après-midi</v>
      </c>
    </row>
    <row r="178" ht="15.0" customHeight="1">
      <c r="A178" s="17">
        <v>46162.0</v>
      </c>
      <c r="B178" s="18" t="s">
        <v>54</v>
      </c>
      <c r="C178" s="18" t="s">
        <v>27</v>
      </c>
      <c r="D178" s="19">
        <v>0.882638888888889</v>
      </c>
      <c r="E178" s="19">
        <v>0.916666666666667</v>
      </c>
      <c r="F178" s="12" t="str">
        <f t="shared" si="1"/>
        <v>49</v>
      </c>
      <c r="G178" s="18" t="s">
        <v>23</v>
      </c>
      <c r="H178" s="12" t="str">
        <f t="shared" si="4"/>
        <v/>
      </c>
      <c r="I178" s="14" t="str">
        <f t="shared" si="2"/>
        <v>20/05</v>
      </c>
      <c r="J178" s="15" t="str">
        <f t="shared" si="3"/>
        <v>Après-midi</v>
      </c>
    </row>
    <row r="179" ht="15.0" customHeight="1">
      <c r="A179" s="17">
        <v>46162.0</v>
      </c>
      <c r="B179" s="18" t="s">
        <v>67</v>
      </c>
      <c r="C179" s="18" t="s">
        <v>27</v>
      </c>
      <c r="D179" s="19">
        <v>0.920833333333333</v>
      </c>
      <c r="E179" s="19">
        <v>0.990972222222222</v>
      </c>
      <c r="F179" s="12" t="str">
        <f t="shared" si="1"/>
        <v>101</v>
      </c>
      <c r="G179" s="18" t="s">
        <v>23</v>
      </c>
      <c r="H179" s="12" t="str">
        <f t="shared" si="4"/>
        <v>6</v>
      </c>
      <c r="I179" s="14" t="str">
        <f t="shared" si="2"/>
        <v>20/05</v>
      </c>
      <c r="J179" s="15" t="str">
        <f t="shared" si="3"/>
        <v>Nuit</v>
      </c>
    </row>
    <row r="180" ht="15.0" customHeight="1">
      <c r="A180" s="20">
        <v>46162.0</v>
      </c>
      <c r="B180" s="21" t="s">
        <v>67</v>
      </c>
      <c r="C180" s="21" t="s">
        <v>27</v>
      </c>
      <c r="D180" s="22">
        <v>0.996527777777778</v>
      </c>
      <c r="E180" s="22">
        <v>0.0520833333333333</v>
      </c>
      <c r="F180" s="23" t="str">
        <f t="shared" si="1"/>
        <v>80</v>
      </c>
      <c r="G180" s="21" t="s">
        <v>23</v>
      </c>
      <c r="H180" s="12" t="str">
        <f t="shared" si="4"/>
        <v/>
      </c>
      <c r="I180" s="14" t="str">
        <f t="shared" si="2"/>
        <v>20/05</v>
      </c>
      <c r="J180" s="15" t="str">
        <f t="shared" si="3"/>
        <v>Nuit</v>
      </c>
      <c r="K180" s="24"/>
    </row>
    <row r="181" ht="15.0" customHeight="1">
      <c r="A181" s="17">
        <v>46163.0</v>
      </c>
      <c r="B181" s="18" t="s">
        <v>67</v>
      </c>
      <c r="C181" s="18" t="s">
        <v>27</v>
      </c>
      <c r="D181" s="19">
        <v>0.0590277777777778</v>
      </c>
      <c r="E181" s="19">
        <v>0.134027777777778</v>
      </c>
      <c r="F181" s="12" t="str">
        <f t="shared" si="1"/>
        <v>108</v>
      </c>
      <c r="G181" s="18" t="s">
        <v>23</v>
      </c>
      <c r="H181" s="12" t="str">
        <f t="shared" si="4"/>
        <v/>
      </c>
      <c r="I181" s="14" t="str">
        <f t="shared" si="2"/>
        <v>20/05</v>
      </c>
      <c r="J181" s="15" t="str">
        <f t="shared" si="3"/>
        <v>Nuit</v>
      </c>
    </row>
    <row r="182" ht="15.0" customHeight="1">
      <c r="A182" s="17">
        <v>46163.0</v>
      </c>
      <c r="B182" s="18" t="s">
        <v>67</v>
      </c>
      <c r="C182" s="18" t="s">
        <v>27</v>
      </c>
      <c r="D182" s="19">
        <v>0.1375</v>
      </c>
      <c r="E182" s="19">
        <v>0.164583333333333</v>
      </c>
      <c r="F182" s="12" t="str">
        <f t="shared" si="1"/>
        <v>39</v>
      </c>
      <c r="G182" s="18" t="s">
        <v>65</v>
      </c>
      <c r="H182" s="12" t="str">
        <f t="shared" si="4"/>
        <v/>
      </c>
      <c r="I182" s="14" t="str">
        <f t="shared" si="2"/>
        <v>20/05</v>
      </c>
      <c r="J182" s="15" t="str">
        <f t="shared" si="3"/>
        <v>Nuit</v>
      </c>
    </row>
    <row r="183" ht="15.0" customHeight="1">
      <c r="A183" s="17">
        <v>46163.0</v>
      </c>
      <c r="B183" s="18" t="s">
        <v>67</v>
      </c>
      <c r="C183" s="18" t="s">
        <v>27</v>
      </c>
      <c r="D183" s="19">
        <v>0.171527777777778</v>
      </c>
      <c r="E183" s="19">
        <v>0.25</v>
      </c>
      <c r="F183" s="12" t="str">
        <f t="shared" si="1"/>
        <v>113</v>
      </c>
      <c r="G183" s="18" t="s">
        <v>23</v>
      </c>
      <c r="H183" s="12" t="str">
        <f t="shared" si="4"/>
        <v/>
      </c>
      <c r="I183" s="14" t="str">
        <f t="shared" si="2"/>
        <v>20/05</v>
      </c>
      <c r="J183" s="15" t="str">
        <f t="shared" si="3"/>
        <v>Nuit</v>
      </c>
    </row>
    <row r="184" ht="15.0" customHeight="1">
      <c r="A184" s="17">
        <v>46164.0</v>
      </c>
      <c r="B184" s="18" t="s">
        <v>66</v>
      </c>
      <c r="C184" s="18" t="s">
        <v>27</v>
      </c>
      <c r="D184" s="19">
        <v>0.25</v>
      </c>
      <c r="E184" s="19">
        <v>0.291666666666667</v>
      </c>
      <c r="F184" s="12" t="str">
        <f t="shared" si="1"/>
        <v>60</v>
      </c>
      <c r="G184" s="18" t="s">
        <v>65</v>
      </c>
      <c r="H184" s="12" t="str">
        <f t="shared" si="4"/>
        <v>0</v>
      </c>
      <c r="I184" s="14" t="str">
        <f t="shared" si="2"/>
        <v>22/05</v>
      </c>
      <c r="J184" s="15" t="str">
        <f t="shared" si="3"/>
        <v>Matin</v>
      </c>
    </row>
    <row r="185" ht="15.0" customHeight="1">
      <c r="A185" s="17">
        <v>46164.0</v>
      </c>
      <c r="B185" s="18" t="s">
        <v>66</v>
      </c>
      <c r="C185" s="18" t="s">
        <v>27</v>
      </c>
      <c r="D185" s="19">
        <v>0.305555555555556</v>
      </c>
      <c r="E185" s="19">
        <v>0.3625</v>
      </c>
      <c r="F185" s="12" t="str">
        <f t="shared" si="1"/>
        <v>82</v>
      </c>
      <c r="G185" s="18" t="s">
        <v>23</v>
      </c>
      <c r="H185" s="12" t="str">
        <f t="shared" si="4"/>
        <v/>
      </c>
      <c r="I185" s="14" t="str">
        <f t="shared" si="2"/>
        <v>22/05</v>
      </c>
      <c r="J185" s="15" t="str">
        <f t="shared" si="3"/>
        <v>Matin</v>
      </c>
    </row>
    <row r="186" ht="15.0" customHeight="1">
      <c r="A186" s="17">
        <v>46164.0</v>
      </c>
      <c r="B186" s="18" t="s">
        <v>66</v>
      </c>
      <c r="C186" s="18" t="s">
        <v>27</v>
      </c>
      <c r="D186" s="19">
        <v>0.372222222222222</v>
      </c>
      <c r="E186" s="19">
        <v>0.502083333333333</v>
      </c>
      <c r="F186" s="12" t="str">
        <f t="shared" si="1"/>
        <v>187</v>
      </c>
      <c r="G186" s="18" t="s">
        <v>23</v>
      </c>
      <c r="H186" s="12" t="str">
        <f t="shared" si="4"/>
        <v/>
      </c>
      <c r="I186" s="14" t="str">
        <f t="shared" si="2"/>
        <v>22/05</v>
      </c>
      <c r="J186" s="15" t="str">
        <f t="shared" si="3"/>
        <v>Matin</v>
      </c>
    </row>
    <row r="187" ht="15.0" customHeight="1">
      <c r="A187" s="17">
        <v>46164.0</v>
      </c>
      <c r="B187" s="18" t="s">
        <v>66</v>
      </c>
      <c r="C187" s="18" t="s">
        <v>27</v>
      </c>
      <c r="D187" s="19">
        <v>0.508333333333333</v>
      </c>
      <c r="E187" s="19">
        <v>0.583333333333333</v>
      </c>
      <c r="F187" s="12" t="str">
        <f t="shared" si="1"/>
        <v>108</v>
      </c>
      <c r="G187" s="18" t="s">
        <v>23</v>
      </c>
      <c r="H187" s="12" t="str">
        <f t="shared" si="4"/>
        <v/>
      </c>
      <c r="I187" s="14" t="str">
        <f t="shared" si="2"/>
        <v>22/05</v>
      </c>
      <c r="J187" s="15" t="str">
        <f t="shared" si="3"/>
        <v>Matin</v>
      </c>
    </row>
    <row r="188" ht="15.0" customHeight="1">
      <c r="A188" s="17">
        <v>46164.0</v>
      </c>
      <c r="B188" s="18" t="s">
        <v>54</v>
      </c>
      <c r="C188" s="18" t="s">
        <v>27</v>
      </c>
      <c r="D188" s="19">
        <v>0.583333333333333</v>
      </c>
      <c r="E188" s="19">
        <v>0.647916666666667</v>
      </c>
      <c r="F188" s="12" t="str">
        <f t="shared" si="1"/>
        <v>93</v>
      </c>
      <c r="G188" s="18" t="s">
        <v>72</v>
      </c>
      <c r="H188" s="12" t="str">
        <f t="shared" si="4"/>
        <v>0</v>
      </c>
      <c r="I188" s="14" t="str">
        <f t="shared" si="2"/>
        <v>22/05</v>
      </c>
      <c r="J188" s="15" t="str">
        <f t="shared" si="3"/>
        <v>Après-midi</v>
      </c>
    </row>
    <row r="189" ht="15.0" customHeight="1">
      <c r="A189" s="17">
        <v>46164.0</v>
      </c>
      <c r="B189" s="18" t="s">
        <v>54</v>
      </c>
      <c r="C189" s="18" t="s">
        <v>27</v>
      </c>
      <c r="D189" s="19">
        <v>0.654166666666667</v>
      </c>
      <c r="E189" s="19">
        <v>0.690972222222222</v>
      </c>
      <c r="F189" s="12" t="str">
        <f t="shared" si="1"/>
        <v>53</v>
      </c>
      <c r="G189" s="18" t="s">
        <v>72</v>
      </c>
      <c r="H189" s="12" t="str">
        <f t="shared" si="4"/>
        <v/>
      </c>
      <c r="I189" s="14" t="str">
        <f t="shared" si="2"/>
        <v>22/05</v>
      </c>
      <c r="J189" s="15" t="str">
        <f t="shared" si="3"/>
        <v>Après-midi</v>
      </c>
    </row>
    <row r="190" ht="15.0" customHeight="1">
      <c r="A190" s="17">
        <v>46164.0</v>
      </c>
      <c r="B190" s="18" t="s">
        <v>54</v>
      </c>
      <c r="C190" s="18" t="s">
        <v>27</v>
      </c>
      <c r="D190" s="19">
        <v>0.696527777777778</v>
      </c>
      <c r="E190" s="19">
        <v>0.791666666666667</v>
      </c>
      <c r="F190" s="12" t="str">
        <f t="shared" si="1"/>
        <v>137</v>
      </c>
      <c r="G190" s="18" t="s">
        <v>23</v>
      </c>
      <c r="H190" s="12" t="str">
        <f t="shared" si="4"/>
        <v/>
      </c>
      <c r="I190" s="14" t="str">
        <f t="shared" si="2"/>
        <v>22/05</v>
      </c>
      <c r="J190" s="15" t="str">
        <f t="shared" si="3"/>
        <v>Après-midi</v>
      </c>
    </row>
    <row r="191" ht="15.0" customHeight="1">
      <c r="A191" s="17">
        <v>46164.0</v>
      </c>
      <c r="B191" s="18" t="s">
        <v>54</v>
      </c>
      <c r="C191" s="18" t="s">
        <v>27</v>
      </c>
      <c r="D191" s="19">
        <v>0.8125</v>
      </c>
      <c r="E191" s="19">
        <v>0.916666666666667</v>
      </c>
      <c r="F191" s="12" t="str">
        <f t="shared" si="1"/>
        <v>150</v>
      </c>
      <c r="G191" s="18" t="s">
        <v>23</v>
      </c>
      <c r="H191" s="12" t="str">
        <f t="shared" si="4"/>
        <v/>
      </c>
      <c r="I191" s="14" t="str">
        <f t="shared" si="2"/>
        <v>22/05</v>
      </c>
      <c r="J191" s="15" t="str">
        <f t="shared" si="3"/>
        <v>Après-midi</v>
      </c>
    </row>
    <row r="192" ht="15.0" customHeight="1">
      <c r="A192" s="20">
        <v>46164.0</v>
      </c>
      <c r="B192" s="21" t="s">
        <v>67</v>
      </c>
      <c r="C192" s="21" t="s">
        <v>27</v>
      </c>
      <c r="D192" s="22">
        <v>0.927083333333333</v>
      </c>
      <c r="E192" s="22">
        <v>0.00902777777777778</v>
      </c>
      <c r="F192" s="23" t="str">
        <f t="shared" si="1"/>
        <v>118</v>
      </c>
      <c r="G192" s="21" t="s">
        <v>23</v>
      </c>
      <c r="H192" s="12" t="str">
        <f t="shared" si="4"/>
        <v>15</v>
      </c>
      <c r="I192" s="14" t="str">
        <f t="shared" si="2"/>
        <v>22/05</v>
      </c>
      <c r="J192" s="15" t="str">
        <f t="shared" si="3"/>
        <v>Nuit</v>
      </c>
      <c r="K192" s="24"/>
    </row>
    <row r="193" ht="15.0" customHeight="1">
      <c r="A193" s="17">
        <v>46165.0</v>
      </c>
      <c r="B193" s="18" t="s">
        <v>67</v>
      </c>
      <c r="C193" s="18" t="s">
        <v>27</v>
      </c>
      <c r="D193" s="19">
        <v>0.0194444444444444</v>
      </c>
      <c r="E193" s="19">
        <v>0.0520833333333333</v>
      </c>
      <c r="F193" s="12" t="str">
        <f t="shared" si="1"/>
        <v>47</v>
      </c>
      <c r="G193" s="18" t="s">
        <v>26</v>
      </c>
      <c r="H193" s="12" t="str">
        <f t="shared" si="4"/>
        <v/>
      </c>
      <c r="I193" s="14" t="str">
        <f t="shared" si="2"/>
        <v>22/05</v>
      </c>
      <c r="J193" s="15" t="str">
        <f t="shared" si="3"/>
        <v>Nuit</v>
      </c>
    </row>
    <row r="194" ht="15.0" customHeight="1">
      <c r="A194" s="17">
        <v>46165.0</v>
      </c>
      <c r="B194" s="18" t="s">
        <v>67</v>
      </c>
      <c r="C194" s="18" t="s">
        <v>27</v>
      </c>
      <c r="D194" s="19">
        <v>0.05625</v>
      </c>
      <c r="E194" s="19">
        <v>0.199305555555556</v>
      </c>
      <c r="F194" s="12" t="str">
        <f t="shared" si="1"/>
        <v>206</v>
      </c>
      <c r="G194" s="18" t="s">
        <v>23</v>
      </c>
      <c r="H194" s="12" t="str">
        <f t="shared" si="4"/>
        <v/>
      </c>
      <c r="I194" s="14" t="str">
        <f t="shared" si="2"/>
        <v>22/05</v>
      </c>
      <c r="J194" s="15" t="str">
        <f t="shared" si="3"/>
        <v>Nuit</v>
      </c>
    </row>
    <row r="195" ht="15.0" customHeight="1">
      <c r="A195" s="17">
        <v>46165.0</v>
      </c>
      <c r="B195" s="18" t="s">
        <v>67</v>
      </c>
      <c r="C195" s="18" t="s">
        <v>27</v>
      </c>
      <c r="D195" s="19">
        <v>0.213194444444444</v>
      </c>
      <c r="E195" s="19">
        <v>0.228472222222222</v>
      </c>
      <c r="F195" s="12" t="str">
        <f t="shared" si="1"/>
        <v>22</v>
      </c>
      <c r="G195" s="18" t="s">
        <v>65</v>
      </c>
      <c r="H195" s="12" t="str">
        <f t="shared" si="4"/>
        <v/>
      </c>
      <c r="I195" s="14" t="str">
        <f t="shared" si="2"/>
        <v>22/05</v>
      </c>
      <c r="J195" s="15" t="str">
        <f t="shared" si="3"/>
        <v>Nuit</v>
      </c>
    </row>
    <row r="196" ht="15.0" customHeight="1">
      <c r="A196" s="17">
        <v>46165.0</v>
      </c>
      <c r="B196" s="18" t="s">
        <v>67</v>
      </c>
      <c r="C196" s="18" t="s">
        <v>27</v>
      </c>
      <c r="D196" s="19">
        <v>0.233333333333333</v>
      </c>
      <c r="E196" s="19">
        <v>0.25</v>
      </c>
      <c r="F196" s="12" t="str">
        <f t="shared" si="1"/>
        <v>24</v>
      </c>
      <c r="G196" s="18" t="s">
        <v>23</v>
      </c>
      <c r="H196" s="12" t="str">
        <f t="shared" si="4"/>
        <v/>
      </c>
      <c r="I196" s="14" t="str">
        <f t="shared" si="2"/>
        <v>22/05</v>
      </c>
      <c r="J196" s="15" t="str">
        <f t="shared" si="3"/>
        <v>Nuit</v>
      </c>
    </row>
    <row r="197" ht="15.0" customHeight="1">
      <c r="A197" s="17">
        <v>46165.0</v>
      </c>
      <c r="B197" s="18" t="s">
        <v>66</v>
      </c>
      <c r="C197" s="18" t="s">
        <v>27</v>
      </c>
      <c r="D197" s="19">
        <v>0.25</v>
      </c>
      <c r="E197" s="19">
        <v>0.322916666666667</v>
      </c>
      <c r="F197" s="12" t="str">
        <f t="shared" si="1"/>
        <v>105</v>
      </c>
      <c r="G197" s="18" t="s">
        <v>23</v>
      </c>
      <c r="H197" s="12" t="str">
        <f t="shared" si="4"/>
        <v>0</v>
      </c>
      <c r="I197" s="14" t="str">
        <f t="shared" si="2"/>
        <v>23/05</v>
      </c>
      <c r="J197" s="15" t="str">
        <f t="shared" si="3"/>
        <v>Matin</v>
      </c>
    </row>
    <row r="198" ht="15.0" customHeight="1">
      <c r="A198" s="17">
        <v>46165.0</v>
      </c>
      <c r="B198" s="18" t="s">
        <v>66</v>
      </c>
      <c r="C198" s="18" t="s">
        <v>27</v>
      </c>
      <c r="D198" s="19">
        <v>0.327777777777778</v>
      </c>
      <c r="E198" s="19">
        <v>0.399305555555556</v>
      </c>
      <c r="F198" s="12" t="str">
        <f t="shared" si="1"/>
        <v>103</v>
      </c>
      <c r="G198" s="18" t="s">
        <v>23</v>
      </c>
      <c r="H198" s="12" t="str">
        <f t="shared" si="4"/>
        <v/>
      </c>
      <c r="I198" s="14" t="str">
        <f t="shared" si="2"/>
        <v>23/05</v>
      </c>
      <c r="J198" s="15" t="str">
        <f t="shared" si="3"/>
        <v>Matin</v>
      </c>
    </row>
    <row r="199" ht="15.0" customHeight="1">
      <c r="A199" s="17">
        <v>46165.0</v>
      </c>
      <c r="B199" s="18" t="s">
        <v>66</v>
      </c>
      <c r="C199" s="18" t="s">
        <v>27</v>
      </c>
      <c r="D199" s="19">
        <v>0.404861111111111</v>
      </c>
      <c r="E199" s="19">
        <v>0.520833333333333</v>
      </c>
      <c r="F199" s="12" t="str">
        <f t="shared" si="1"/>
        <v>167</v>
      </c>
      <c r="G199" s="18" t="s">
        <v>23</v>
      </c>
      <c r="H199" s="12" t="str">
        <f t="shared" si="4"/>
        <v/>
      </c>
      <c r="I199" s="14" t="str">
        <f t="shared" si="2"/>
        <v>23/05</v>
      </c>
      <c r="J199" s="15" t="str">
        <f t="shared" si="3"/>
        <v>Matin</v>
      </c>
    </row>
    <row r="200" ht="15.0" customHeight="1">
      <c r="A200" s="17">
        <v>46165.0</v>
      </c>
      <c r="B200" s="18" t="s">
        <v>66</v>
      </c>
      <c r="C200" s="18" t="s">
        <v>27</v>
      </c>
      <c r="D200" s="19">
        <v>0.528472222222222</v>
      </c>
      <c r="E200" s="19">
        <v>0.579861111111111</v>
      </c>
      <c r="F200" s="12" t="str">
        <f t="shared" si="1"/>
        <v>74</v>
      </c>
      <c r="G200" s="18" t="s">
        <v>65</v>
      </c>
      <c r="H200" s="12" t="str">
        <f t="shared" si="4"/>
        <v/>
      </c>
      <c r="I200" s="14" t="str">
        <f t="shared" si="2"/>
        <v>23/05</v>
      </c>
      <c r="J200" s="15" t="str">
        <f t="shared" si="3"/>
        <v>Matin</v>
      </c>
    </row>
    <row r="201" ht="15.0" customHeight="1">
      <c r="A201" s="17">
        <v>46165.0</v>
      </c>
      <c r="B201" s="18" t="s">
        <v>54</v>
      </c>
      <c r="C201" s="18" t="s">
        <v>27</v>
      </c>
      <c r="D201" s="19">
        <v>0.586805555555556</v>
      </c>
      <c r="E201" s="19">
        <v>0.59375</v>
      </c>
      <c r="F201" s="12" t="str">
        <f t="shared" si="1"/>
        <v>10</v>
      </c>
      <c r="G201" s="18" t="s">
        <v>35</v>
      </c>
      <c r="H201" s="12" t="str">
        <f t="shared" si="4"/>
        <v>10</v>
      </c>
      <c r="I201" s="14" t="str">
        <f t="shared" si="2"/>
        <v>23/05</v>
      </c>
      <c r="J201" s="15" t="str">
        <f t="shared" si="3"/>
        <v>Après-midi</v>
      </c>
    </row>
    <row r="202" ht="15.0" customHeight="1">
      <c r="A202" s="17">
        <v>46165.0</v>
      </c>
      <c r="B202" s="18" t="s">
        <v>54</v>
      </c>
      <c r="C202" s="18" t="s">
        <v>27</v>
      </c>
      <c r="D202" s="19">
        <v>0.61875</v>
      </c>
      <c r="E202" s="19">
        <v>0.625</v>
      </c>
      <c r="F202" s="12" t="str">
        <f t="shared" si="1"/>
        <v>9</v>
      </c>
      <c r="G202" s="18" t="s">
        <v>32</v>
      </c>
      <c r="H202" s="12" t="str">
        <f t="shared" si="4"/>
        <v/>
      </c>
      <c r="I202" s="14" t="str">
        <f t="shared" si="2"/>
        <v>23/05</v>
      </c>
      <c r="J202" s="15" t="str">
        <f t="shared" si="3"/>
        <v>Après-midi</v>
      </c>
    </row>
    <row r="203" ht="15.0" customHeight="1">
      <c r="A203" s="17">
        <v>46165.0</v>
      </c>
      <c r="B203" s="18" t="s">
        <v>54</v>
      </c>
      <c r="C203" s="18" t="s">
        <v>27</v>
      </c>
      <c r="D203" s="19">
        <v>0.629861111111111</v>
      </c>
      <c r="E203" s="19">
        <v>0.694444444444444</v>
      </c>
      <c r="F203" s="12" t="str">
        <f t="shared" si="1"/>
        <v>93</v>
      </c>
      <c r="G203" s="18" t="s">
        <v>35</v>
      </c>
      <c r="H203" s="12" t="str">
        <f t="shared" si="4"/>
        <v/>
      </c>
      <c r="I203" s="14" t="str">
        <f t="shared" si="2"/>
        <v>23/05</v>
      </c>
      <c r="J203" s="15" t="str">
        <f t="shared" si="3"/>
        <v>Après-midi</v>
      </c>
    </row>
    <row r="204" ht="15.0" customHeight="1">
      <c r="A204" s="17">
        <v>46165.0</v>
      </c>
      <c r="B204" s="18" t="s">
        <v>54</v>
      </c>
      <c r="C204" s="18" t="s">
        <v>27</v>
      </c>
      <c r="D204" s="19">
        <v>0.697916666666667</v>
      </c>
      <c r="E204" s="19">
        <v>0.828472222222222</v>
      </c>
      <c r="F204" s="12" t="str">
        <f t="shared" si="1"/>
        <v>188</v>
      </c>
      <c r="G204" s="18" t="s">
        <v>23</v>
      </c>
      <c r="H204" s="12" t="str">
        <f t="shared" si="4"/>
        <v/>
      </c>
      <c r="I204" s="14" t="str">
        <f t="shared" si="2"/>
        <v>23/05</v>
      </c>
      <c r="J204" s="15" t="str">
        <f t="shared" si="3"/>
        <v>Après-midi</v>
      </c>
    </row>
    <row r="205" ht="15.0" customHeight="1">
      <c r="A205" s="17">
        <v>46165.0</v>
      </c>
      <c r="B205" s="18" t="s">
        <v>54</v>
      </c>
      <c r="C205" s="18" t="s">
        <v>27</v>
      </c>
      <c r="D205" s="19">
        <v>0.833333333333333</v>
      </c>
      <c r="E205" s="19">
        <v>0.8875</v>
      </c>
      <c r="F205" s="12" t="str">
        <f t="shared" si="1"/>
        <v>78</v>
      </c>
      <c r="G205" s="18" t="s">
        <v>23</v>
      </c>
      <c r="H205" s="12" t="str">
        <f t="shared" si="4"/>
        <v/>
      </c>
      <c r="I205" s="14" t="str">
        <f t="shared" si="2"/>
        <v>23/05</v>
      </c>
      <c r="J205" s="15" t="str">
        <f t="shared" si="3"/>
        <v>Après-midi</v>
      </c>
    </row>
    <row r="206" ht="15.0" customHeight="1">
      <c r="A206" s="17">
        <v>46165.0</v>
      </c>
      <c r="B206" s="18" t="s">
        <v>54</v>
      </c>
      <c r="C206" s="18" t="s">
        <v>27</v>
      </c>
      <c r="D206" s="19">
        <v>0.890972222222222</v>
      </c>
      <c r="E206" s="19">
        <v>0.916666666666667</v>
      </c>
      <c r="F206" s="12" t="str">
        <f t="shared" si="1"/>
        <v>37</v>
      </c>
      <c r="G206" s="18" t="s">
        <v>23</v>
      </c>
      <c r="H206" s="12" t="str">
        <f t="shared" si="4"/>
        <v/>
      </c>
      <c r="I206" s="14" t="str">
        <f t="shared" si="2"/>
        <v>23/05</v>
      </c>
      <c r="J206" s="15" t="str">
        <f t="shared" si="3"/>
        <v>Après-midi</v>
      </c>
    </row>
    <row r="207" ht="15.0" customHeight="1">
      <c r="A207" s="17">
        <v>46165.0</v>
      </c>
      <c r="B207" s="18" t="s">
        <v>67</v>
      </c>
      <c r="C207" s="18" t="s">
        <v>27</v>
      </c>
      <c r="D207" s="19">
        <v>0.917361111111111</v>
      </c>
      <c r="E207" s="19">
        <v>0.965277777777778</v>
      </c>
      <c r="F207" s="12" t="str">
        <f t="shared" si="1"/>
        <v>69</v>
      </c>
      <c r="G207" s="18" t="s">
        <v>26</v>
      </c>
      <c r="H207" s="12" t="str">
        <f t="shared" si="4"/>
        <v>1</v>
      </c>
      <c r="I207" s="14" t="str">
        <f t="shared" si="2"/>
        <v>23/05</v>
      </c>
      <c r="J207" s="15" t="str">
        <f t="shared" si="3"/>
        <v>Nuit</v>
      </c>
    </row>
    <row r="208" ht="15.0" customHeight="1">
      <c r="A208" s="20">
        <v>46165.0</v>
      </c>
      <c r="B208" s="21" t="s">
        <v>67</v>
      </c>
      <c r="C208" s="21" t="s">
        <v>27</v>
      </c>
      <c r="D208" s="22">
        <v>0.970138888888889</v>
      </c>
      <c r="E208" s="22">
        <v>0.0520833333333333</v>
      </c>
      <c r="F208" s="23" t="str">
        <f t="shared" si="1"/>
        <v>118</v>
      </c>
      <c r="G208" s="21" t="s">
        <v>23</v>
      </c>
      <c r="H208" s="12" t="str">
        <f t="shared" si="4"/>
        <v/>
      </c>
      <c r="I208" s="14" t="str">
        <f t="shared" si="2"/>
        <v>23/05</v>
      </c>
      <c r="J208" s="15" t="str">
        <f t="shared" si="3"/>
        <v>Nuit</v>
      </c>
      <c r="K208" s="24"/>
    </row>
    <row r="209" ht="15.0" customHeight="1">
      <c r="A209" s="17">
        <v>46166.0</v>
      </c>
      <c r="B209" s="18" t="s">
        <v>67</v>
      </c>
      <c r="C209" s="18" t="s">
        <v>27</v>
      </c>
      <c r="D209" s="19">
        <v>0.0541666666666667</v>
      </c>
      <c r="E209" s="19">
        <v>0.0743055555555556</v>
      </c>
      <c r="F209" s="12" t="str">
        <f t="shared" si="1"/>
        <v>29</v>
      </c>
      <c r="G209" s="18" t="s">
        <v>38</v>
      </c>
      <c r="H209" s="12" t="str">
        <f t="shared" si="4"/>
        <v/>
      </c>
      <c r="I209" s="14" t="str">
        <f t="shared" si="2"/>
        <v>23/05</v>
      </c>
      <c r="J209" s="15" t="str">
        <f t="shared" si="3"/>
        <v>Nuit</v>
      </c>
    </row>
    <row r="210" ht="15.0" customHeight="1">
      <c r="A210" s="17">
        <v>46166.0</v>
      </c>
      <c r="B210" s="18" t="s">
        <v>67</v>
      </c>
      <c r="C210" s="18" t="s">
        <v>27</v>
      </c>
      <c r="D210" s="19">
        <v>0.0770833333333333</v>
      </c>
      <c r="E210" s="19">
        <v>0.14375</v>
      </c>
      <c r="F210" s="12" t="str">
        <f t="shared" si="1"/>
        <v>96</v>
      </c>
      <c r="G210" s="18" t="s">
        <v>39</v>
      </c>
      <c r="H210" s="12" t="str">
        <f t="shared" si="4"/>
        <v/>
      </c>
      <c r="I210" s="14" t="str">
        <f t="shared" si="2"/>
        <v>23/05</v>
      </c>
      <c r="J210" s="15" t="str">
        <f t="shared" si="3"/>
        <v>Nuit</v>
      </c>
    </row>
    <row r="211" ht="15.0" customHeight="1">
      <c r="A211" s="17">
        <v>46166.0</v>
      </c>
      <c r="B211" s="18" t="s">
        <v>67</v>
      </c>
      <c r="C211" s="18" t="s">
        <v>27</v>
      </c>
      <c r="D211" s="19">
        <v>0.147222222222222</v>
      </c>
      <c r="E211" s="19">
        <v>0.166666666666667</v>
      </c>
      <c r="F211" s="12" t="str">
        <f t="shared" si="1"/>
        <v>28</v>
      </c>
      <c r="G211" s="18" t="s">
        <v>65</v>
      </c>
      <c r="H211" s="12" t="str">
        <f t="shared" si="4"/>
        <v/>
      </c>
      <c r="I211" s="14" t="str">
        <f t="shared" si="2"/>
        <v>23/05</v>
      </c>
      <c r="J211" s="15" t="str">
        <f t="shared" si="3"/>
        <v>Nuit</v>
      </c>
    </row>
    <row r="212" ht="14.25" customHeight="1">
      <c r="A212" s="17">
        <v>46166.0</v>
      </c>
      <c r="B212" s="18" t="s">
        <v>67</v>
      </c>
      <c r="C212" s="18" t="s">
        <v>27</v>
      </c>
      <c r="D212" s="19">
        <v>0.174305555555556</v>
      </c>
      <c r="E212" s="19">
        <v>0.25</v>
      </c>
      <c r="F212" s="12" t="str">
        <f t="shared" si="1"/>
        <v>109</v>
      </c>
      <c r="G212" s="18" t="s">
        <v>23</v>
      </c>
      <c r="H212" s="12" t="str">
        <f t="shared" si="4"/>
        <v/>
      </c>
      <c r="I212" s="14" t="str">
        <f t="shared" si="2"/>
        <v>23/05</v>
      </c>
      <c r="J212" s="15" t="str">
        <f t="shared" si="3"/>
        <v>Nuit</v>
      </c>
    </row>
    <row r="213" ht="14.25" customHeight="1">
      <c r="A213" s="17">
        <v>46167.0</v>
      </c>
      <c r="B213" s="18" t="s">
        <v>54</v>
      </c>
      <c r="C213" s="18" t="s">
        <v>27</v>
      </c>
      <c r="D213" s="19">
        <v>0.260416666666667</v>
      </c>
      <c r="E213" s="19">
        <v>0.340277777777778</v>
      </c>
      <c r="F213" s="12" t="str">
        <f t="shared" si="1"/>
        <v>115</v>
      </c>
      <c r="G213" s="18" t="s">
        <v>73</v>
      </c>
      <c r="H213" s="12" t="str">
        <f t="shared" si="4"/>
        <v>15</v>
      </c>
      <c r="I213" s="14" t="str">
        <f t="shared" si="2"/>
        <v>25/05</v>
      </c>
      <c r="J213" s="15" t="str">
        <f t="shared" si="3"/>
        <v>Matin</v>
      </c>
    </row>
    <row r="214" ht="14.25" customHeight="1">
      <c r="A214" s="17">
        <v>46167.0</v>
      </c>
      <c r="B214" s="18" t="s">
        <v>54</v>
      </c>
      <c r="C214" s="18" t="s">
        <v>27</v>
      </c>
      <c r="D214" s="19">
        <v>0.34375</v>
      </c>
      <c r="E214" s="19">
        <v>0.463194444444445</v>
      </c>
      <c r="F214" s="12" t="str">
        <f t="shared" si="1"/>
        <v>172</v>
      </c>
      <c r="G214" s="18" t="s">
        <v>23</v>
      </c>
      <c r="H214" s="12" t="str">
        <f t="shared" si="4"/>
        <v/>
      </c>
      <c r="I214" s="14" t="str">
        <f t="shared" si="2"/>
        <v>25/05</v>
      </c>
      <c r="J214" s="15" t="str">
        <f t="shared" si="3"/>
        <v>Matin</v>
      </c>
    </row>
    <row r="215" ht="14.25" customHeight="1">
      <c r="A215" s="17">
        <v>46167.0</v>
      </c>
      <c r="B215" s="18" t="s">
        <v>54</v>
      </c>
      <c r="C215" s="18" t="s">
        <v>27</v>
      </c>
      <c r="D215" s="19">
        <v>0.475694444444444</v>
      </c>
      <c r="E215" s="19">
        <v>0.583333333333333</v>
      </c>
      <c r="F215" s="12" t="str">
        <f t="shared" si="1"/>
        <v>155</v>
      </c>
      <c r="G215" s="18" t="s">
        <v>23</v>
      </c>
      <c r="H215" s="12" t="str">
        <f t="shared" si="4"/>
        <v/>
      </c>
      <c r="I215" s="14" t="str">
        <f t="shared" si="2"/>
        <v>25/05</v>
      </c>
      <c r="J215" s="15" t="str">
        <f t="shared" si="3"/>
        <v>Matin</v>
      </c>
    </row>
    <row r="216" ht="14.25" customHeight="1">
      <c r="A216" s="17">
        <v>46167.0</v>
      </c>
      <c r="B216" s="18" t="s">
        <v>54</v>
      </c>
      <c r="C216" s="18" t="s">
        <v>27</v>
      </c>
      <c r="D216" s="19">
        <v>0.586805555555556</v>
      </c>
      <c r="E216" s="19">
        <v>0.604166666666667</v>
      </c>
      <c r="F216" s="12" t="str">
        <f t="shared" si="1"/>
        <v>25</v>
      </c>
      <c r="G216" s="18" t="s">
        <v>23</v>
      </c>
      <c r="H216" s="12" t="str">
        <f t="shared" si="4"/>
        <v/>
      </c>
      <c r="I216" s="14" t="str">
        <f t="shared" si="2"/>
        <v>25/05</v>
      </c>
      <c r="J216" s="15" t="str">
        <f t="shared" si="3"/>
        <v>Après-midi</v>
      </c>
    </row>
    <row r="217" ht="14.25" customHeight="1">
      <c r="A217" s="17">
        <v>46167.0</v>
      </c>
      <c r="B217" s="18" t="s">
        <v>54</v>
      </c>
      <c r="C217" s="18" t="s">
        <v>27</v>
      </c>
      <c r="D217" s="19">
        <v>0.694444444444444</v>
      </c>
      <c r="E217" s="19">
        <v>0.836805555555556</v>
      </c>
      <c r="F217" s="12" t="str">
        <f t="shared" si="1"/>
        <v>205</v>
      </c>
      <c r="G217" s="18" t="s">
        <v>23</v>
      </c>
      <c r="H217" s="12" t="str">
        <f t="shared" si="4"/>
        <v/>
      </c>
      <c r="I217" s="14" t="str">
        <f t="shared" si="2"/>
        <v>25/05</v>
      </c>
      <c r="J217" s="15" t="str">
        <f t="shared" si="3"/>
        <v>Après-midi</v>
      </c>
    </row>
    <row r="218" ht="14.25" customHeight="1">
      <c r="A218" s="17">
        <v>46167.0</v>
      </c>
      <c r="B218" s="18" t="s">
        <v>54</v>
      </c>
      <c r="C218" s="18" t="s">
        <v>27</v>
      </c>
      <c r="D218" s="19">
        <v>0.841666666666667</v>
      </c>
      <c r="E218" s="19">
        <v>0.916666666666667</v>
      </c>
      <c r="F218" s="12" t="str">
        <f t="shared" si="1"/>
        <v>108</v>
      </c>
      <c r="G218" s="18" t="s">
        <v>23</v>
      </c>
      <c r="H218" s="12" t="str">
        <f t="shared" si="4"/>
        <v/>
      </c>
      <c r="I218" s="14" t="str">
        <f t="shared" si="2"/>
        <v>25/05</v>
      </c>
      <c r="J218" s="15" t="str">
        <f t="shared" si="3"/>
        <v>Après-midi</v>
      </c>
    </row>
    <row r="219" ht="14.25" customHeight="1">
      <c r="A219" s="17">
        <v>46167.0</v>
      </c>
      <c r="B219" s="18" t="s">
        <v>66</v>
      </c>
      <c r="C219" s="18" t="s">
        <v>27</v>
      </c>
      <c r="D219" s="19">
        <v>0.920138888888889</v>
      </c>
      <c r="E219" s="19">
        <v>0.943055555555556</v>
      </c>
      <c r="F219" s="12" t="str">
        <f t="shared" si="1"/>
        <v>33</v>
      </c>
      <c r="G219" s="18" t="s">
        <v>65</v>
      </c>
      <c r="H219" s="12" t="str">
        <f t="shared" si="4"/>
        <v>5</v>
      </c>
      <c r="I219" s="14" t="str">
        <f t="shared" si="2"/>
        <v>25/05</v>
      </c>
      <c r="J219" s="15" t="str">
        <f t="shared" si="3"/>
        <v>Nuit</v>
      </c>
    </row>
    <row r="220" ht="14.25" customHeight="1">
      <c r="A220" s="17">
        <v>46167.0</v>
      </c>
      <c r="B220" s="18" t="s">
        <v>66</v>
      </c>
      <c r="C220" s="18" t="s">
        <v>27</v>
      </c>
      <c r="D220" s="19">
        <v>0.947916666666667</v>
      </c>
      <c r="E220" s="19">
        <v>0.954166666666667</v>
      </c>
      <c r="F220" s="12" t="str">
        <f t="shared" si="1"/>
        <v>9</v>
      </c>
      <c r="G220" s="18" t="s">
        <v>65</v>
      </c>
      <c r="H220" s="12" t="str">
        <f t="shared" si="4"/>
        <v/>
      </c>
      <c r="I220" s="14" t="str">
        <f t="shared" si="2"/>
        <v>25/05</v>
      </c>
      <c r="J220" s="15" t="str">
        <f t="shared" si="3"/>
        <v>Nuit</v>
      </c>
    </row>
    <row r="221" ht="14.25" customHeight="1">
      <c r="A221" s="20">
        <v>46167.0</v>
      </c>
      <c r="B221" s="21" t="s">
        <v>66</v>
      </c>
      <c r="C221" s="21" t="s">
        <v>27</v>
      </c>
      <c r="D221" s="22">
        <v>0.968055555555556</v>
      </c>
      <c r="E221" s="22">
        <v>0.00277777777777778</v>
      </c>
      <c r="F221" s="23" t="str">
        <f t="shared" si="1"/>
        <v>50</v>
      </c>
      <c r="G221" s="21" t="s">
        <v>65</v>
      </c>
      <c r="H221" s="12" t="str">
        <f t="shared" si="4"/>
        <v/>
      </c>
      <c r="I221" s="14" t="str">
        <f t="shared" si="2"/>
        <v>25/05</v>
      </c>
      <c r="J221" s="15" t="str">
        <f t="shared" si="3"/>
        <v>Nuit</v>
      </c>
      <c r="K221" s="24"/>
    </row>
    <row r="222" ht="14.25" customHeight="1">
      <c r="A222" s="17">
        <v>46168.0</v>
      </c>
      <c r="B222" s="18" t="s">
        <v>66</v>
      </c>
      <c r="C222" s="18" t="s">
        <v>27</v>
      </c>
      <c r="D222" s="19">
        <v>0.0</v>
      </c>
      <c r="E222" s="19">
        <v>0.125</v>
      </c>
      <c r="F222" s="12" t="str">
        <f t="shared" si="1"/>
        <v>180</v>
      </c>
      <c r="G222" s="18" t="s">
        <v>23</v>
      </c>
      <c r="H222" s="12" t="str">
        <f t="shared" si="4"/>
        <v/>
      </c>
      <c r="I222" s="14" t="str">
        <f t="shared" si="2"/>
        <v>25/05</v>
      </c>
      <c r="J222" s="15" t="str">
        <f t="shared" si="3"/>
        <v>Nuit</v>
      </c>
    </row>
    <row r="223" ht="14.25" customHeight="1">
      <c r="A223" s="17">
        <v>46168.0</v>
      </c>
      <c r="B223" s="18" t="s">
        <v>66</v>
      </c>
      <c r="C223" s="18" t="s">
        <v>27</v>
      </c>
      <c r="D223" s="19">
        <v>0.129861111111111</v>
      </c>
      <c r="E223" s="19">
        <v>0.178472222222222</v>
      </c>
      <c r="F223" s="12" t="str">
        <f t="shared" si="1"/>
        <v>70</v>
      </c>
      <c r="G223" s="18" t="s">
        <v>23</v>
      </c>
      <c r="H223" s="12" t="str">
        <f t="shared" si="4"/>
        <v/>
      </c>
      <c r="I223" s="14" t="str">
        <f t="shared" si="2"/>
        <v>25/05</v>
      </c>
      <c r="J223" s="15" t="str">
        <f t="shared" si="3"/>
        <v>Nuit</v>
      </c>
    </row>
    <row r="224" ht="14.25" customHeight="1">
      <c r="A224" s="17">
        <v>46168.0</v>
      </c>
      <c r="B224" s="18" t="s">
        <v>66</v>
      </c>
      <c r="C224" s="18" t="s">
        <v>27</v>
      </c>
      <c r="D224" s="19">
        <v>0.181944444444444</v>
      </c>
      <c r="E224" s="19">
        <v>0.243055555555556</v>
      </c>
      <c r="F224" s="12" t="str">
        <f t="shared" si="1"/>
        <v>88</v>
      </c>
      <c r="G224" s="18" t="s">
        <v>23</v>
      </c>
      <c r="H224" s="12" t="str">
        <f t="shared" si="4"/>
        <v/>
      </c>
      <c r="I224" s="14" t="str">
        <f t="shared" si="2"/>
        <v>25/05</v>
      </c>
      <c r="J224" s="15" t="str">
        <f t="shared" si="3"/>
        <v>Nuit</v>
      </c>
    </row>
    <row r="225" ht="14.25" customHeight="1">
      <c r="A225" s="17">
        <v>46168.0</v>
      </c>
      <c r="B225" s="18" t="s">
        <v>54</v>
      </c>
      <c r="C225" s="18" t="s">
        <v>27</v>
      </c>
      <c r="D225" s="19">
        <v>0.25</v>
      </c>
      <c r="E225" s="19">
        <v>0.272916666666667</v>
      </c>
      <c r="F225" s="12" t="str">
        <f t="shared" si="1"/>
        <v>33</v>
      </c>
      <c r="G225" s="18" t="s">
        <v>23</v>
      </c>
      <c r="H225" s="12" t="str">
        <f t="shared" si="4"/>
        <v>10</v>
      </c>
      <c r="I225" s="14" t="str">
        <f t="shared" si="2"/>
        <v>26/05</v>
      </c>
      <c r="J225" s="15" t="str">
        <f t="shared" si="3"/>
        <v>Matin</v>
      </c>
    </row>
    <row r="226" ht="14.25" customHeight="1">
      <c r="A226" s="17">
        <v>46168.0</v>
      </c>
      <c r="B226" s="18" t="s">
        <v>54</v>
      </c>
      <c r="C226" s="18" t="s">
        <v>27</v>
      </c>
      <c r="D226" s="19">
        <v>0.282638888888889</v>
      </c>
      <c r="E226" s="19">
        <v>0.377083333333333</v>
      </c>
      <c r="F226" s="12" t="str">
        <f t="shared" si="1"/>
        <v>136</v>
      </c>
      <c r="G226" s="18" t="s">
        <v>23</v>
      </c>
      <c r="H226" s="12" t="str">
        <f t="shared" si="4"/>
        <v/>
      </c>
      <c r="I226" s="14" t="str">
        <f t="shared" si="2"/>
        <v>26/05</v>
      </c>
      <c r="J226" s="15" t="str">
        <f t="shared" si="3"/>
        <v>Matin</v>
      </c>
    </row>
    <row r="227" ht="14.25" customHeight="1">
      <c r="A227" s="17">
        <v>46168.0</v>
      </c>
      <c r="B227" s="18" t="s">
        <v>54</v>
      </c>
      <c r="C227" s="18" t="s">
        <v>27</v>
      </c>
      <c r="D227" s="19">
        <v>0.382638888888889</v>
      </c>
      <c r="E227" s="19">
        <v>0.447916666666667</v>
      </c>
      <c r="F227" s="12" t="str">
        <f t="shared" si="1"/>
        <v>94</v>
      </c>
      <c r="G227" s="18" t="s">
        <v>35</v>
      </c>
      <c r="H227" s="12" t="str">
        <f t="shared" si="4"/>
        <v/>
      </c>
      <c r="I227" s="14" t="str">
        <f t="shared" si="2"/>
        <v>26/05</v>
      </c>
      <c r="J227" s="15" t="str">
        <f t="shared" si="3"/>
        <v>Matin</v>
      </c>
    </row>
    <row r="228" ht="14.25" customHeight="1">
      <c r="A228" s="17">
        <v>46168.0</v>
      </c>
      <c r="B228" s="18" t="s">
        <v>54</v>
      </c>
      <c r="C228" s="18" t="s">
        <v>27</v>
      </c>
      <c r="D228" s="19">
        <v>0.454861111111111</v>
      </c>
      <c r="E228" s="19">
        <v>0.534027777777778</v>
      </c>
      <c r="F228" s="12" t="str">
        <f t="shared" si="1"/>
        <v>114</v>
      </c>
      <c r="G228" s="18" t="s">
        <v>35</v>
      </c>
      <c r="H228" s="12" t="str">
        <f t="shared" si="4"/>
        <v/>
      </c>
      <c r="I228" s="14" t="str">
        <f t="shared" si="2"/>
        <v>26/05</v>
      </c>
      <c r="J228" s="15" t="str">
        <f t="shared" si="3"/>
        <v>Matin</v>
      </c>
    </row>
    <row r="229" ht="14.25" customHeight="1">
      <c r="A229" s="17">
        <v>46168.0</v>
      </c>
      <c r="B229" s="18" t="s">
        <v>54</v>
      </c>
      <c r="C229" s="18" t="s">
        <v>27</v>
      </c>
      <c r="D229" s="19">
        <v>0.541666666666667</v>
      </c>
      <c r="E229" s="19">
        <v>0.583333333333333</v>
      </c>
      <c r="F229" s="12" t="str">
        <f t="shared" si="1"/>
        <v>60</v>
      </c>
      <c r="G229" s="18" t="s">
        <v>23</v>
      </c>
      <c r="H229" s="12" t="str">
        <f t="shared" si="4"/>
        <v/>
      </c>
      <c r="I229" s="14" t="str">
        <f t="shared" si="2"/>
        <v>26/05</v>
      </c>
      <c r="J229" s="15" t="str">
        <f t="shared" si="3"/>
        <v>Matin</v>
      </c>
    </row>
    <row r="230" ht="14.25" customHeight="1">
      <c r="A230" s="17">
        <v>46169.0</v>
      </c>
      <c r="B230" s="18" t="s">
        <v>67</v>
      </c>
      <c r="C230" s="18" t="s">
        <v>27</v>
      </c>
      <c r="D230" s="19">
        <v>0.586111111111111</v>
      </c>
      <c r="E230" s="19">
        <v>0.605555555555556</v>
      </c>
      <c r="F230" s="12" t="str">
        <f t="shared" si="1"/>
        <v>28</v>
      </c>
      <c r="G230" s="18" t="s">
        <v>26</v>
      </c>
      <c r="H230" s="12" t="str">
        <f t="shared" si="4"/>
        <v>4</v>
      </c>
      <c r="I230" s="14" t="str">
        <f t="shared" si="2"/>
        <v>27/05</v>
      </c>
      <c r="J230" s="15" t="str">
        <f t="shared" si="3"/>
        <v>Après-midi</v>
      </c>
    </row>
    <row r="231" ht="14.25" customHeight="1">
      <c r="A231" s="17">
        <v>46169.0</v>
      </c>
      <c r="B231" s="18" t="s">
        <v>67</v>
      </c>
      <c r="C231" s="18" t="s">
        <v>27</v>
      </c>
      <c r="D231" s="19">
        <v>0.615972222222222</v>
      </c>
      <c r="E231" s="19">
        <v>0.677083333333333</v>
      </c>
      <c r="F231" s="12" t="str">
        <f t="shared" si="1"/>
        <v>88</v>
      </c>
      <c r="G231" s="18" t="s">
        <v>23</v>
      </c>
      <c r="H231" s="12" t="str">
        <f t="shared" si="4"/>
        <v/>
      </c>
      <c r="I231" s="14" t="str">
        <f t="shared" si="2"/>
        <v>27/05</v>
      </c>
      <c r="J231" s="15" t="str">
        <f t="shared" si="3"/>
        <v>Après-midi</v>
      </c>
    </row>
    <row r="232" ht="14.25" customHeight="1">
      <c r="A232" s="17">
        <v>46169.0</v>
      </c>
      <c r="B232" s="18" t="s">
        <v>67</v>
      </c>
      <c r="C232" s="18" t="s">
        <v>27</v>
      </c>
      <c r="D232" s="19">
        <v>0.685416666666667</v>
      </c>
      <c r="E232" s="19">
        <v>0.770833333333333</v>
      </c>
      <c r="F232" s="12" t="str">
        <f t="shared" si="1"/>
        <v>123</v>
      </c>
      <c r="G232" s="18" t="s">
        <v>23</v>
      </c>
      <c r="H232" s="12" t="str">
        <f t="shared" si="4"/>
        <v/>
      </c>
      <c r="I232" s="14" t="str">
        <f t="shared" si="2"/>
        <v>27/05</v>
      </c>
      <c r="J232" s="15" t="str">
        <f t="shared" si="3"/>
        <v>Après-midi</v>
      </c>
    </row>
    <row r="233" ht="14.25" customHeight="1">
      <c r="A233" s="17">
        <v>46169.0</v>
      </c>
      <c r="B233" s="18" t="s">
        <v>67</v>
      </c>
      <c r="C233" s="18" t="s">
        <v>27</v>
      </c>
      <c r="D233" s="19">
        <v>0.777777777777778</v>
      </c>
      <c r="E233" s="19">
        <v>0.791666666666667</v>
      </c>
      <c r="F233" s="12" t="str">
        <f t="shared" si="1"/>
        <v>20</v>
      </c>
      <c r="G233" s="18" t="s">
        <v>26</v>
      </c>
      <c r="H233" s="12" t="str">
        <f t="shared" si="4"/>
        <v/>
      </c>
      <c r="I233" s="14" t="str">
        <f t="shared" si="2"/>
        <v>27/05</v>
      </c>
      <c r="J233" s="15" t="str">
        <f t="shared" si="3"/>
        <v>Après-midi</v>
      </c>
    </row>
    <row r="234" ht="14.25" customHeight="1">
      <c r="A234" s="17">
        <v>46169.0</v>
      </c>
      <c r="B234" s="18" t="s">
        <v>67</v>
      </c>
      <c r="C234" s="18" t="s">
        <v>27</v>
      </c>
      <c r="D234" s="19">
        <v>0.818055555555556</v>
      </c>
      <c r="E234" s="19">
        <v>0.861111111111111</v>
      </c>
      <c r="F234" s="12" t="str">
        <f t="shared" si="1"/>
        <v>62</v>
      </c>
      <c r="G234" s="18" t="s">
        <v>26</v>
      </c>
      <c r="H234" s="12" t="str">
        <f t="shared" si="4"/>
        <v/>
      </c>
      <c r="I234" s="14" t="str">
        <f t="shared" si="2"/>
        <v>27/05</v>
      </c>
      <c r="J234" s="15" t="str">
        <f t="shared" si="3"/>
        <v>Après-midi</v>
      </c>
    </row>
    <row r="235" ht="14.25" customHeight="1">
      <c r="A235" s="17">
        <v>46169.0</v>
      </c>
      <c r="B235" s="18" t="s">
        <v>67</v>
      </c>
      <c r="C235" s="18" t="s">
        <v>27</v>
      </c>
      <c r="D235" s="19">
        <v>0.867361111111111</v>
      </c>
      <c r="E235" s="19">
        <v>0.916666666666667</v>
      </c>
      <c r="F235" s="12" t="str">
        <f t="shared" si="1"/>
        <v>71</v>
      </c>
      <c r="G235" s="18" t="s">
        <v>23</v>
      </c>
      <c r="H235" s="12" t="str">
        <f t="shared" si="4"/>
        <v/>
      </c>
      <c r="I235" s="14" t="str">
        <f t="shared" si="2"/>
        <v>27/05</v>
      </c>
      <c r="J235" s="15" t="str">
        <f t="shared" si="3"/>
        <v>Après-midi</v>
      </c>
    </row>
    <row r="236" ht="14.25" customHeight="1">
      <c r="A236" s="17">
        <v>46169.0</v>
      </c>
      <c r="B236" s="18" t="s">
        <v>66</v>
      </c>
      <c r="C236" s="18" t="s">
        <v>27</v>
      </c>
      <c r="D236" s="19">
        <v>0.920138888888889</v>
      </c>
      <c r="E236" s="19">
        <v>0.958333333333333</v>
      </c>
      <c r="F236" s="12" t="str">
        <f t="shared" si="1"/>
        <v>55</v>
      </c>
      <c r="G236" s="18" t="s">
        <v>23</v>
      </c>
      <c r="H236" s="12" t="str">
        <f t="shared" si="4"/>
        <v>5</v>
      </c>
      <c r="I236" s="14" t="str">
        <f t="shared" si="2"/>
        <v>27/05</v>
      </c>
      <c r="J236" s="15" t="str">
        <f t="shared" si="3"/>
        <v>Nuit</v>
      </c>
    </row>
    <row r="237" ht="14.25" customHeight="1">
      <c r="A237" s="20">
        <v>46169.0</v>
      </c>
      <c r="B237" s="21" t="s">
        <v>66</v>
      </c>
      <c r="C237" s="21" t="s">
        <v>27</v>
      </c>
      <c r="D237" s="22">
        <v>0.999305555555556</v>
      </c>
      <c r="E237" s="22">
        <v>0.0138888888888889</v>
      </c>
      <c r="F237" s="23" t="str">
        <f t="shared" si="1"/>
        <v>21</v>
      </c>
      <c r="G237" s="21" t="s">
        <v>65</v>
      </c>
      <c r="H237" s="12" t="str">
        <f t="shared" si="4"/>
        <v/>
      </c>
      <c r="I237" s="14" t="str">
        <f t="shared" si="2"/>
        <v>27/05</v>
      </c>
      <c r="J237" s="15" t="str">
        <f t="shared" si="3"/>
        <v>Nuit</v>
      </c>
      <c r="K237" s="24"/>
    </row>
    <row r="238" ht="14.25" customHeight="1">
      <c r="A238" s="17">
        <v>46169.0</v>
      </c>
      <c r="B238" s="18" t="s">
        <v>66</v>
      </c>
      <c r="C238" s="18" t="s">
        <v>27</v>
      </c>
      <c r="D238" s="19">
        <v>0.0173611111111111</v>
      </c>
      <c r="E238" s="19">
        <v>0.102083333333333</v>
      </c>
      <c r="F238" s="12" t="str">
        <f t="shared" si="1"/>
        <v>122</v>
      </c>
      <c r="G238" s="18" t="s">
        <v>23</v>
      </c>
      <c r="H238" s="12" t="str">
        <f t="shared" si="4"/>
        <v/>
      </c>
      <c r="I238" s="14" t="str">
        <f t="shared" si="2"/>
        <v>26/05</v>
      </c>
      <c r="J238" s="15" t="str">
        <f t="shared" si="3"/>
        <v>Nuit</v>
      </c>
    </row>
    <row r="239" ht="14.25" customHeight="1">
      <c r="A239" s="17">
        <v>46169.0</v>
      </c>
      <c r="B239" s="18" t="s">
        <v>66</v>
      </c>
      <c r="C239" s="18" t="s">
        <v>27</v>
      </c>
      <c r="D239" s="19">
        <v>0.107638888888889</v>
      </c>
      <c r="E239" s="19">
        <v>0.150694444444444</v>
      </c>
      <c r="F239" s="12" t="str">
        <f t="shared" si="1"/>
        <v>62</v>
      </c>
      <c r="G239" s="18" t="s">
        <v>72</v>
      </c>
      <c r="H239" s="12" t="str">
        <f t="shared" si="4"/>
        <v/>
      </c>
      <c r="I239" s="14" t="str">
        <f t="shared" si="2"/>
        <v>26/05</v>
      </c>
      <c r="J239" s="15" t="str">
        <f t="shared" si="3"/>
        <v>Nuit</v>
      </c>
    </row>
    <row r="240" ht="14.25" customHeight="1">
      <c r="A240" s="17">
        <v>46169.0</v>
      </c>
      <c r="B240" s="18" t="s">
        <v>66</v>
      </c>
      <c r="C240" s="18" t="s">
        <v>27</v>
      </c>
      <c r="D240" s="19">
        <v>0.154861111111111</v>
      </c>
      <c r="E240" s="19">
        <v>0.233333333333333</v>
      </c>
      <c r="F240" s="12" t="str">
        <f t="shared" si="1"/>
        <v>113</v>
      </c>
      <c r="G240" s="18" t="s">
        <v>23</v>
      </c>
      <c r="H240" s="12" t="str">
        <f t="shared" si="4"/>
        <v/>
      </c>
      <c r="I240" s="14" t="str">
        <f t="shared" si="2"/>
        <v>26/05</v>
      </c>
      <c r="J240" s="15" t="str">
        <f t="shared" si="3"/>
        <v>Nuit</v>
      </c>
    </row>
    <row r="241" ht="14.25" customHeight="1">
      <c r="A241" s="17">
        <v>46169.0</v>
      </c>
      <c r="B241" s="18" t="s">
        <v>66</v>
      </c>
      <c r="C241" s="18" t="s">
        <v>27</v>
      </c>
      <c r="D241" s="19">
        <v>0.2375</v>
      </c>
      <c r="E241" s="19">
        <v>0.25</v>
      </c>
      <c r="F241" s="12" t="str">
        <f t="shared" si="1"/>
        <v>18</v>
      </c>
      <c r="G241" s="18" t="s">
        <v>23</v>
      </c>
      <c r="H241" s="12" t="str">
        <f t="shared" si="4"/>
        <v/>
      </c>
      <c r="I241" s="14" t="str">
        <f t="shared" si="2"/>
        <v>26/05</v>
      </c>
      <c r="J241" s="15" t="str">
        <f t="shared" si="3"/>
        <v>Nuit</v>
      </c>
    </row>
    <row r="242" ht="14.25" customHeight="1">
      <c r="A242" s="17">
        <v>46169.0</v>
      </c>
      <c r="B242" s="18" t="s">
        <v>54</v>
      </c>
      <c r="C242" s="18" t="s">
        <v>27</v>
      </c>
      <c r="D242" s="19">
        <v>0.251388888888889</v>
      </c>
      <c r="E242" s="19">
        <v>0.334027777777778</v>
      </c>
      <c r="F242" s="12" t="str">
        <f t="shared" si="1"/>
        <v>119</v>
      </c>
      <c r="G242" s="18" t="s">
        <v>23</v>
      </c>
      <c r="H242" s="12" t="str">
        <f t="shared" si="4"/>
        <v>2</v>
      </c>
      <c r="I242" s="14" t="str">
        <f t="shared" si="2"/>
        <v>27/05</v>
      </c>
      <c r="J242" s="15" t="str">
        <f t="shared" si="3"/>
        <v>Matin</v>
      </c>
    </row>
    <row r="243" ht="14.25" customHeight="1">
      <c r="A243" s="17">
        <v>46169.0</v>
      </c>
      <c r="B243" s="18" t="s">
        <v>54</v>
      </c>
      <c r="C243" s="18" t="s">
        <v>27</v>
      </c>
      <c r="D243" s="19">
        <v>0.34375</v>
      </c>
      <c r="E243" s="19">
        <v>0.477777777777778</v>
      </c>
      <c r="F243" s="12" t="str">
        <f t="shared" si="1"/>
        <v>193</v>
      </c>
      <c r="G243" s="18" t="s">
        <v>23</v>
      </c>
      <c r="H243" s="12" t="str">
        <f t="shared" si="4"/>
        <v/>
      </c>
      <c r="I243" s="14" t="str">
        <f t="shared" si="2"/>
        <v>27/05</v>
      </c>
      <c r="J243" s="15" t="str">
        <f t="shared" si="3"/>
        <v>Matin</v>
      </c>
    </row>
    <row r="244" ht="14.25" customHeight="1">
      <c r="A244" s="17">
        <v>46169.0</v>
      </c>
      <c r="B244" s="18" t="s">
        <v>54</v>
      </c>
      <c r="C244" s="18" t="s">
        <v>27</v>
      </c>
      <c r="D244" s="19">
        <v>0.486111111111111</v>
      </c>
      <c r="E244" s="19">
        <v>0.583333333333333</v>
      </c>
      <c r="F244" s="12" t="str">
        <f t="shared" si="1"/>
        <v>140</v>
      </c>
      <c r="G244" s="18" t="s">
        <v>23</v>
      </c>
      <c r="H244" s="12" t="str">
        <f t="shared" si="4"/>
        <v/>
      </c>
      <c r="I244" s="14" t="str">
        <f t="shared" si="2"/>
        <v>27/05</v>
      </c>
      <c r="J244" s="15" t="str">
        <f t="shared" si="3"/>
        <v>Matin</v>
      </c>
    </row>
    <row r="245" ht="14.25" customHeight="1">
      <c r="A245" s="17">
        <v>46169.0</v>
      </c>
      <c r="B245" s="18" t="s">
        <v>67</v>
      </c>
      <c r="C245" s="18" t="s">
        <v>27</v>
      </c>
      <c r="D245" s="19">
        <v>0.583333333333333</v>
      </c>
      <c r="E245" s="19">
        <v>0.604166666666667</v>
      </c>
      <c r="F245" s="12" t="str">
        <f t="shared" si="1"/>
        <v>30</v>
      </c>
      <c r="G245" s="18" t="s">
        <v>65</v>
      </c>
      <c r="H245" s="12" t="str">
        <f t="shared" si="4"/>
        <v>0</v>
      </c>
      <c r="I245" s="14" t="str">
        <f t="shared" si="2"/>
        <v>27/05</v>
      </c>
      <c r="J245" s="15" t="str">
        <f t="shared" si="3"/>
        <v>Après-midi</v>
      </c>
    </row>
    <row r="246" ht="14.25" customHeight="1">
      <c r="A246" s="17">
        <v>46169.0</v>
      </c>
      <c r="B246" s="18" t="s">
        <v>67</v>
      </c>
      <c r="C246" s="18" t="s">
        <v>27</v>
      </c>
      <c r="D246" s="19">
        <v>0.610416666666667</v>
      </c>
      <c r="E246" s="19">
        <v>0.683333333333333</v>
      </c>
      <c r="F246" s="12" t="str">
        <f t="shared" si="1"/>
        <v>105</v>
      </c>
      <c r="G246" s="18" t="s">
        <v>23</v>
      </c>
      <c r="H246" s="12" t="str">
        <f t="shared" si="4"/>
        <v/>
      </c>
      <c r="I246" s="14" t="str">
        <f t="shared" si="2"/>
        <v>27/05</v>
      </c>
      <c r="J246" s="15" t="str">
        <f t="shared" si="3"/>
        <v>Après-midi</v>
      </c>
    </row>
    <row r="247" ht="14.25" customHeight="1">
      <c r="A247" s="17">
        <v>46169.0</v>
      </c>
      <c r="B247" s="18" t="s">
        <v>67</v>
      </c>
      <c r="C247" s="18" t="s">
        <v>27</v>
      </c>
      <c r="D247" s="19">
        <v>0.691666666666667</v>
      </c>
      <c r="E247" s="19">
        <v>0.814583333333333</v>
      </c>
      <c r="F247" s="12" t="str">
        <f t="shared" si="1"/>
        <v>177</v>
      </c>
      <c r="G247" s="18" t="s">
        <v>23</v>
      </c>
      <c r="H247" s="12" t="str">
        <f t="shared" si="4"/>
        <v/>
      </c>
      <c r="I247" s="14" t="str">
        <f t="shared" si="2"/>
        <v>27/05</v>
      </c>
      <c r="J247" s="15" t="str">
        <f t="shared" si="3"/>
        <v>Après-midi</v>
      </c>
    </row>
    <row r="248" ht="14.25" customHeight="1">
      <c r="A248" s="17">
        <v>46169.0</v>
      </c>
      <c r="B248" s="18" t="s">
        <v>67</v>
      </c>
      <c r="C248" s="18" t="s">
        <v>27</v>
      </c>
      <c r="D248" s="19">
        <v>0.8375</v>
      </c>
      <c r="E248" s="19">
        <v>0.910416666666667</v>
      </c>
      <c r="F248" s="12" t="str">
        <f t="shared" si="1"/>
        <v>105</v>
      </c>
      <c r="G248" s="18" t="s">
        <v>23</v>
      </c>
      <c r="H248" s="12" t="str">
        <f t="shared" si="4"/>
        <v/>
      </c>
      <c r="I248" s="14" t="str">
        <f t="shared" si="2"/>
        <v>27/05</v>
      </c>
      <c r="J248" s="15" t="str">
        <f t="shared" si="3"/>
        <v>Après-midi</v>
      </c>
    </row>
    <row r="249" ht="14.25" customHeight="1">
      <c r="A249" s="17">
        <v>46169.0</v>
      </c>
      <c r="B249" s="18" t="s">
        <v>67</v>
      </c>
      <c r="C249" s="18" t="s">
        <v>27</v>
      </c>
      <c r="D249" s="19">
        <v>0.914583333333333</v>
      </c>
      <c r="E249" s="19">
        <v>0.916666666666667</v>
      </c>
      <c r="F249" s="12" t="str">
        <f t="shared" si="1"/>
        <v>3</v>
      </c>
      <c r="G249" s="18" t="s">
        <v>23</v>
      </c>
      <c r="H249" s="12" t="str">
        <f t="shared" si="4"/>
        <v/>
      </c>
      <c r="I249" s="14" t="str">
        <f t="shared" si="2"/>
        <v>27/05</v>
      </c>
      <c r="J249" s="15" t="str">
        <f t="shared" si="3"/>
        <v>Après-midi</v>
      </c>
    </row>
    <row r="250" ht="14.25" customHeight="1">
      <c r="A250" s="17">
        <v>46169.0</v>
      </c>
      <c r="B250" s="18" t="s">
        <v>66</v>
      </c>
      <c r="C250" s="18" t="s">
        <v>27</v>
      </c>
      <c r="D250" s="19">
        <v>0.926388888888889</v>
      </c>
      <c r="E250" s="19">
        <v>0.944444444444444</v>
      </c>
      <c r="F250" s="12" t="str">
        <f t="shared" si="1"/>
        <v>26</v>
      </c>
      <c r="G250" s="18" t="s">
        <v>26</v>
      </c>
      <c r="H250" s="12" t="str">
        <f t="shared" si="4"/>
        <v>14</v>
      </c>
      <c r="I250" s="14" t="str">
        <f t="shared" si="2"/>
        <v>27/05</v>
      </c>
      <c r="J250" s="15" t="str">
        <f t="shared" si="3"/>
        <v>Nuit</v>
      </c>
    </row>
    <row r="251" ht="14.25" customHeight="1">
      <c r="A251" s="20">
        <v>46169.0</v>
      </c>
      <c r="B251" s="21" t="s">
        <v>66</v>
      </c>
      <c r="C251" s="21" t="s">
        <v>27</v>
      </c>
      <c r="D251" s="22">
        <v>0.947916666666667</v>
      </c>
      <c r="E251" s="22">
        <v>0.0291666666666667</v>
      </c>
      <c r="F251" s="23" t="str">
        <f t="shared" si="1"/>
        <v>117</v>
      </c>
      <c r="G251" s="21" t="s">
        <v>23</v>
      </c>
      <c r="H251" s="12" t="str">
        <f t="shared" si="4"/>
        <v/>
      </c>
      <c r="I251" s="14" t="str">
        <f t="shared" si="2"/>
        <v>27/05</v>
      </c>
      <c r="J251" s="15" t="str">
        <f t="shared" si="3"/>
        <v>Nuit</v>
      </c>
      <c r="K251" s="24"/>
    </row>
    <row r="252" ht="14.25" customHeight="1">
      <c r="A252" s="17">
        <v>46170.0</v>
      </c>
      <c r="B252" s="18" t="s">
        <v>66</v>
      </c>
      <c r="C252" s="18" t="s">
        <v>27</v>
      </c>
      <c r="D252" s="19">
        <v>0.0416666666666667</v>
      </c>
      <c r="E252" s="19">
        <v>0.104166666666667</v>
      </c>
      <c r="F252" s="12" t="str">
        <f t="shared" si="1"/>
        <v>90</v>
      </c>
      <c r="G252" s="18" t="s">
        <v>65</v>
      </c>
      <c r="H252" s="12" t="str">
        <f t="shared" si="4"/>
        <v/>
      </c>
      <c r="I252" s="14" t="str">
        <f t="shared" si="2"/>
        <v>27/05</v>
      </c>
      <c r="J252" s="15" t="str">
        <f t="shared" si="3"/>
        <v>Nuit</v>
      </c>
    </row>
    <row r="253" ht="14.25" customHeight="1">
      <c r="A253" s="17">
        <v>46170.0</v>
      </c>
      <c r="B253" s="18" t="s">
        <v>66</v>
      </c>
      <c r="C253" s="18" t="s">
        <v>27</v>
      </c>
      <c r="D253" s="19">
        <v>0.108333333333333</v>
      </c>
      <c r="E253" s="19">
        <v>0.178472222222222</v>
      </c>
      <c r="F253" s="12" t="str">
        <f t="shared" si="1"/>
        <v>101</v>
      </c>
      <c r="G253" s="18" t="s">
        <v>23</v>
      </c>
      <c r="H253" s="12" t="str">
        <f t="shared" si="4"/>
        <v/>
      </c>
      <c r="I253" s="14" t="str">
        <f t="shared" si="2"/>
        <v>27/05</v>
      </c>
      <c r="J253" s="15" t="str">
        <f t="shared" si="3"/>
        <v>Nuit</v>
      </c>
    </row>
    <row r="254" ht="14.25" customHeight="1">
      <c r="A254" s="17">
        <v>46170.0</v>
      </c>
      <c r="B254" s="18" t="s">
        <v>66</v>
      </c>
      <c r="C254" s="18" t="s">
        <v>27</v>
      </c>
      <c r="D254" s="19">
        <v>0.184027777777778</v>
      </c>
      <c r="E254" s="19">
        <v>0.243055555555556</v>
      </c>
      <c r="F254" s="12" t="str">
        <f t="shared" si="1"/>
        <v>85</v>
      </c>
      <c r="G254" s="18" t="s">
        <v>23</v>
      </c>
      <c r="H254" s="12" t="str">
        <f t="shared" si="4"/>
        <v/>
      </c>
      <c r="I254" s="14" t="str">
        <f t="shared" si="2"/>
        <v>27/05</v>
      </c>
      <c r="J254" s="15" t="str">
        <f t="shared" si="3"/>
        <v>Nuit</v>
      </c>
    </row>
    <row r="255" ht="14.25" customHeight="1">
      <c r="A255" s="17">
        <v>46170.0</v>
      </c>
      <c r="B255" s="18" t="s">
        <v>54</v>
      </c>
      <c r="C255" s="18" t="s">
        <v>27</v>
      </c>
      <c r="D255" s="19">
        <v>0.25</v>
      </c>
      <c r="E255" s="19">
        <v>0.291666666666667</v>
      </c>
      <c r="F255" s="12" t="str">
        <f t="shared" si="1"/>
        <v>60</v>
      </c>
      <c r="G255" s="18" t="s">
        <v>23</v>
      </c>
      <c r="H255" s="12" t="str">
        <f t="shared" si="4"/>
        <v>10</v>
      </c>
      <c r="I255" s="14" t="str">
        <f t="shared" si="2"/>
        <v>28/05</v>
      </c>
      <c r="J255" s="15" t="str">
        <f t="shared" si="3"/>
        <v>Matin</v>
      </c>
    </row>
    <row r="256" ht="14.25" customHeight="1">
      <c r="A256" s="17">
        <v>46170.0</v>
      </c>
      <c r="B256" s="18" t="s">
        <v>54</v>
      </c>
      <c r="C256" s="18" t="s">
        <v>27</v>
      </c>
      <c r="D256" s="19">
        <v>0.309027777777778</v>
      </c>
      <c r="E256" s="19">
        <v>0.323611111111111</v>
      </c>
      <c r="F256" s="12" t="str">
        <f t="shared" si="1"/>
        <v>21</v>
      </c>
      <c r="G256" s="18" t="s">
        <v>35</v>
      </c>
      <c r="H256" s="12" t="str">
        <f t="shared" si="4"/>
        <v/>
      </c>
      <c r="I256" s="14" t="str">
        <f t="shared" si="2"/>
        <v>28/05</v>
      </c>
      <c r="J256" s="15" t="str">
        <f t="shared" si="3"/>
        <v>Matin</v>
      </c>
    </row>
    <row r="257" ht="14.25" customHeight="1">
      <c r="A257" s="17">
        <v>46170.0</v>
      </c>
      <c r="B257" s="18" t="s">
        <v>54</v>
      </c>
      <c r="C257" s="18" t="s">
        <v>27</v>
      </c>
      <c r="D257" s="19">
        <v>0.333333333333333</v>
      </c>
      <c r="E257" s="19">
        <v>0.493055555555556</v>
      </c>
      <c r="F257" s="12" t="str">
        <f t="shared" si="1"/>
        <v>230</v>
      </c>
      <c r="G257" s="18" t="s">
        <v>23</v>
      </c>
      <c r="H257" s="12" t="str">
        <f t="shared" si="4"/>
        <v/>
      </c>
      <c r="I257" s="14" t="str">
        <f t="shared" si="2"/>
        <v>28/05</v>
      </c>
      <c r="J257" s="15" t="str">
        <f t="shared" si="3"/>
        <v>Matin</v>
      </c>
    </row>
    <row r="258" ht="14.25" customHeight="1">
      <c r="A258" s="17">
        <v>46170.0</v>
      </c>
      <c r="B258" s="18" t="s">
        <v>54</v>
      </c>
      <c r="C258" s="18" t="s">
        <v>27</v>
      </c>
      <c r="D258" s="19">
        <v>0.503472222222222</v>
      </c>
      <c r="E258" s="19">
        <v>0.583333333333333</v>
      </c>
      <c r="F258" s="12" t="str">
        <f t="shared" si="1"/>
        <v>115</v>
      </c>
      <c r="G258" s="18" t="s">
        <v>23</v>
      </c>
      <c r="H258" s="12" t="str">
        <f t="shared" si="4"/>
        <v/>
      </c>
      <c r="I258" s="14" t="str">
        <f t="shared" si="2"/>
        <v>28/05</v>
      </c>
      <c r="J258" s="15" t="str">
        <f t="shared" si="3"/>
        <v>Matin</v>
      </c>
    </row>
    <row r="259" ht="14.25" customHeight="1">
      <c r="A259" s="17">
        <v>46170.0</v>
      </c>
      <c r="B259" s="18" t="s">
        <v>67</v>
      </c>
      <c r="C259" s="18" t="s">
        <v>27</v>
      </c>
      <c r="D259" s="19">
        <v>0.586805555555556</v>
      </c>
      <c r="E259" s="19">
        <v>0.701388888888889</v>
      </c>
      <c r="F259" s="12" t="str">
        <f t="shared" si="1"/>
        <v>165</v>
      </c>
      <c r="G259" s="18" t="s">
        <v>23</v>
      </c>
      <c r="H259" s="12" t="str">
        <f t="shared" si="4"/>
        <v>5</v>
      </c>
      <c r="I259" s="14" t="str">
        <f t="shared" si="2"/>
        <v>28/05</v>
      </c>
      <c r="J259" s="15" t="str">
        <f t="shared" si="3"/>
        <v>Après-midi</v>
      </c>
    </row>
    <row r="260" ht="14.25" customHeight="1">
      <c r="A260" s="17">
        <v>46170.0</v>
      </c>
      <c r="B260" s="18" t="s">
        <v>67</v>
      </c>
      <c r="C260" s="18" t="s">
        <v>27</v>
      </c>
      <c r="D260" s="19">
        <v>0.708333333333333</v>
      </c>
      <c r="E260" s="19">
        <v>0.716666666666667</v>
      </c>
      <c r="F260" s="12" t="str">
        <f t="shared" si="1"/>
        <v>12</v>
      </c>
      <c r="G260" s="18" t="s">
        <v>65</v>
      </c>
      <c r="H260" s="12" t="str">
        <f t="shared" si="4"/>
        <v/>
      </c>
      <c r="I260" s="14" t="str">
        <f t="shared" si="2"/>
        <v>28/05</v>
      </c>
      <c r="J260" s="15" t="str">
        <f t="shared" si="3"/>
        <v>Après-midi</v>
      </c>
    </row>
    <row r="261" ht="14.25" customHeight="1">
      <c r="A261" s="17">
        <v>46170.0</v>
      </c>
      <c r="B261" s="18" t="s">
        <v>67</v>
      </c>
      <c r="C261" s="18" t="s">
        <v>27</v>
      </c>
      <c r="D261" s="19">
        <v>0.722222222222222</v>
      </c>
      <c r="E261" s="19">
        <v>0.745138888888889</v>
      </c>
      <c r="F261" s="12" t="str">
        <f t="shared" si="1"/>
        <v>33</v>
      </c>
      <c r="G261" s="18" t="s">
        <v>26</v>
      </c>
      <c r="H261" s="12" t="str">
        <f t="shared" si="4"/>
        <v/>
      </c>
      <c r="I261" s="14" t="str">
        <f t="shared" si="2"/>
        <v>28/05</v>
      </c>
      <c r="J261" s="15" t="str">
        <f t="shared" si="3"/>
        <v>Après-midi</v>
      </c>
    </row>
    <row r="262" ht="14.25" customHeight="1">
      <c r="A262" s="17">
        <v>46170.0</v>
      </c>
      <c r="B262" s="18" t="s">
        <v>67</v>
      </c>
      <c r="C262" s="18" t="s">
        <v>27</v>
      </c>
      <c r="D262" s="19">
        <v>0.75</v>
      </c>
      <c r="E262" s="19">
        <v>0.820138888888889</v>
      </c>
      <c r="F262" s="12" t="str">
        <f t="shared" si="1"/>
        <v>101</v>
      </c>
      <c r="G262" s="18" t="s">
        <v>26</v>
      </c>
      <c r="H262" s="12" t="str">
        <f t="shared" si="4"/>
        <v/>
      </c>
      <c r="I262" s="14" t="str">
        <f t="shared" si="2"/>
        <v>28/05</v>
      </c>
      <c r="J262" s="15" t="str">
        <f t="shared" si="3"/>
        <v>Après-midi</v>
      </c>
    </row>
    <row r="263" ht="14.25" customHeight="1">
      <c r="A263" s="17">
        <v>46170.0</v>
      </c>
      <c r="B263" s="18" t="s">
        <v>67</v>
      </c>
      <c r="C263" s="18" t="s">
        <v>27</v>
      </c>
      <c r="D263" s="19">
        <v>0.826388888888889</v>
      </c>
      <c r="E263" s="19">
        <v>0.863194444444445</v>
      </c>
      <c r="F263" s="12" t="str">
        <f t="shared" si="1"/>
        <v>53</v>
      </c>
      <c r="G263" s="18" t="s">
        <v>23</v>
      </c>
      <c r="H263" s="12" t="str">
        <f t="shared" si="4"/>
        <v/>
      </c>
      <c r="I263" s="14" t="str">
        <f t="shared" si="2"/>
        <v>28/05</v>
      </c>
      <c r="J263" s="15" t="str">
        <f t="shared" si="3"/>
        <v>Après-midi</v>
      </c>
    </row>
    <row r="264" ht="14.25" customHeight="1">
      <c r="A264" s="17">
        <v>46170.0</v>
      </c>
      <c r="B264" s="18" t="s">
        <v>67</v>
      </c>
      <c r="C264" s="18" t="s">
        <v>27</v>
      </c>
      <c r="D264" s="19">
        <v>0.863194444444445</v>
      </c>
      <c r="E264" s="19">
        <v>0.881944444444444</v>
      </c>
      <c r="F264" s="12" t="str">
        <f t="shared" si="1"/>
        <v>27</v>
      </c>
      <c r="G264" s="18" t="s">
        <v>39</v>
      </c>
      <c r="H264" s="12" t="str">
        <f t="shared" si="4"/>
        <v/>
      </c>
      <c r="I264" s="14" t="str">
        <f t="shared" si="2"/>
        <v>28/05</v>
      </c>
      <c r="J264" s="15" t="str">
        <f t="shared" si="3"/>
        <v>Après-midi</v>
      </c>
    </row>
    <row r="265" ht="14.25" customHeight="1">
      <c r="A265" s="17">
        <v>46170.0</v>
      </c>
      <c r="B265" s="18" t="s">
        <v>66</v>
      </c>
      <c r="C265" s="18" t="s">
        <v>27</v>
      </c>
      <c r="D265" s="19">
        <v>0.881944444444444</v>
      </c>
      <c r="E265" s="19">
        <v>0.916666666666667</v>
      </c>
      <c r="F265" s="12" t="str">
        <f t="shared" si="1"/>
        <v>50</v>
      </c>
      <c r="G265" s="18" t="s">
        <v>23</v>
      </c>
      <c r="H265" s="12" t="str">
        <f t="shared" si="4"/>
        <v>0</v>
      </c>
      <c r="I265" s="14" t="str">
        <f t="shared" si="2"/>
        <v>28/05</v>
      </c>
      <c r="J265" s="15" t="str">
        <f t="shared" si="3"/>
        <v>Après-midi</v>
      </c>
    </row>
    <row r="266" ht="14.25" customHeight="1">
      <c r="A266" s="17">
        <v>46170.0</v>
      </c>
      <c r="B266" s="18" t="s">
        <v>66</v>
      </c>
      <c r="C266" s="18" t="s">
        <v>27</v>
      </c>
      <c r="D266" s="19">
        <v>0.916666666666667</v>
      </c>
      <c r="E266" s="19">
        <v>0.984722222222222</v>
      </c>
      <c r="F266" s="12" t="str">
        <f t="shared" si="1"/>
        <v>98</v>
      </c>
      <c r="G266" s="18" t="s">
        <v>65</v>
      </c>
      <c r="H266" s="12" t="str">
        <f t="shared" si="4"/>
        <v/>
      </c>
      <c r="I266" s="14" t="str">
        <f t="shared" si="2"/>
        <v>28/05</v>
      </c>
      <c r="J266" s="15" t="str">
        <f t="shared" si="3"/>
        <v>Nuit</v>
      </c>
    </row>
    <row r="267" ht="14.25" customHeight="1">
      <c r="A267" s="20">
        <v>46170.0</v>
      </c>
      <c r="B267" s="21" t="s">
        <v>66</v>
      </c>
      <c r="C267" s="21" t="s">
        <v>27</v>
      </c>
      <c r="D267" s="22">
        <v>0.986111111111111</v>
      </c>
      <c r="E267" s="22">
        <v>0.118055555555556</v>
      </c>
      <c r="F267" s="23" t="str">
        <f t="shared" si="1"/>
        <v>190</v>
      </c>
      <c r="G267" s="21" t="s">
        <v>23</v>
      </c>
      <c r="H267" s="12" t="str">
        <f t="shared" si="4"/>
        <v/>
      </c>
      <c r="I267" s="14" t="str">
        <f t="shared" si="2"/>
        <v>28/05</v>
      </c>
      <c r="J267" s="15" t="str">
        <f t="shared" si="3"/>
        <v>Nuit</v>
      </c>
      <c r="K267" s="24"/>
    </row>
    <row r="268" ht="14.25" customHeight="1">
      <c r="A268" s="17">
        <v>46171.0</v>
      </c>
      <c r="B268" s="18" t="s">
        <v>66</v>
      </c>
      <c r="C268" s="18" t="s">
        <v>27</v>
      </c>
      <c r="D268" s="19">
        <v>0.121527777777778</v>
      </c>
      <c r="E268" s="19">
        <v>0.129861111111111</v>
      </c>
      <c r="F268" s="12" t="str">
        <f t="shared" si="1"/>
        <v>12</v>
      </c>
      <c r="G268" s="18" t="s">
        <v>65</v>
      </c>
      <c r="H268" s="12" t="str">
        <f t="shared" si="4"/>
        <v/>
      </c>
      <c r="I268" s="14" t="str">
        <f t="shared" si="2"/>
        <v>28/05</v>
      </c>
      <c r="J268" s="15" t="str">
        <f t="shared" si="3"/>
        <v>Nuit</v>
      </c>
    </row>
    <row r="269" ht="14.25" customHeight="1">
      <c r="A269" s="17">
        <v>46171.0</v>
      </c>
      <c r="B269" s="18" t="s">
        <v>66</v>
      </c>
      <c r="C269" s="18" t="s">
        <v>27</v>
      </c>
      <c r="D269" s="19">
        <v>0.16875</v>
      </c>
      <c r="E269" s="19">
        <v>0.171527777777778</v>
      </c>
      <c r="F269" s="12" t="str">
        <f t="shared" si="1"/>
        <v>4</v>
      </c>
      <c r="G269" s="18" t="s">
        <v>65</v>
      </c>
      <c r="H269" s="12" t="str">
        <f t="shared" si="4"/>
        <v/>
      </c>
      <c r="I269" s="14" t="str">
        <f t="shared" si="2"/>
        <v>28/05</v>
      </c>
      <c r="J269" s="15" t="str">
        <f t="shared" si="3"/>
        <v>Nuit</v>
      </c>
    </row>
    <row r="270" ht="14.25" customHeight="1">
      <c r="A270" s="17">
        <v>46171.0</v>
      </c>
      <c r="B270" s="18" t="s">
        <v>66</v>
      </c>
      <c r="C270" s="18" t="s">
        <v>27</v>
      </c>
      <c r="D270" s="19">
        <v>0.175694444444444</v>
      </c>
      <c r="E270" s="19">
        <v>0.18125</v>
      </c>
      <c r="F270" s="12" t="str">
        <f t="shared" si="1"/>
        <v>8</v>
      </c>
      <c r="G270" s="18" t="s">
        <v>65</v>
      </c>
      <c r="H270" s="12" t="str">
        <f t="shared" si="4"/>
        <v/>
      </c>
      <c r="I270" s="14" t="str">
        <f t="shared" si="2"/>
        <v>28/05</v>
      </c>
      <c r="J270" s="15" t="str">
        <f t="shared" si="3"/>
        <v>Nuit</v>
      </c>
    </row>
    <row r="271" ht="14.25" customHeight="1">
      <c r="A271" s="17">
        <v>46171.0</v>
      </c>
      <c r="B271" s="18" t="s">
        <v>66</v>
      </c>
      <c r="C271" s="18" t="s">
        <v>27</v>
      </c>
      <c r="D271" s="19">
        <v>0.189583333333333</v>
      </c>
      <c r="E271" s="19">
        <v>0.25</v>
      </c>
      <c r="F271" s="12" t="str">
        <f t="shared" si="1"/>
        <v>87</v>
      </c>
      <c r="G271" s="18" t="s">
        <v>23</v>
      </c>
      <c r="H271" s="12" t="str">
        <f t="shared" si="4"/>
        <v/>
      </c>
      <c r="I271" s="14" t="str">
        <f t="shared" si="2"/>
        <v>28/05</v>
      </c>
      <c r="J271" s="15" t="str">
        <f t="shared" si="3"/>
        <v>Nuit</v>
      </c>
    </row>
    <row r="272" ht="14.25" customHeight="1">
      <c r="A272" s="17">
        <v>46171.0</v>
      </c>
      <c r="B272" s="18" t="s">
        <v>54</v>
      </c>
      <c r="C272" s="18" t="s">
        <v>27</v>
      </c>
      <c r="D272" s="19">
        <v>0.25</v>
      </c>
      <c r="E272" s="19">
        <v>0.359027777777778</v>
      </c>
      <c r="F272" s="12" t="str">
        <f t="shared" si="1"/>
        <v>157</v>
      </c>
      <c r="G272" s="18" t="s">
        <v>39</v>
      </c>
      <c r="H272" s="12" t="str">
        <f t="shared" si="4"/>
        <v>0</v>
      </c>
      <c r="I272" s="14" t="str">
        <f t="shared" si="2"/>
        <v>29/05</v>
      </c>
      <c r="J272" s="15" t="str">
        <f t="shared" si="3"/>
        <v>Matin</v>
      </c>
    </row>
    <row r="273" ht="14.25" customHeight="1">
      <c r="A273" s="17">
        <v>46171.0</v>
      </c>
      <c r="B273" s="18" t="s">
        <v>54</v>
      </c>
      <c r="C273" s="18" t="s">
        <v>27</v>
      </c>
      <c r="D273" s="19">
        <v>0.359027777777778</v>
      </c>
      <c r="E273" s="19">
        <v>0.536805555555556</v>
      </c>
      <c r="F273" s="12" t="str">
        <f t="shared" si="1"/>
        <v>256</v>
      </c>
      <c r="G273" s="18" t="s">
        <v>74</v>
      </c>
      <c r="H273" s="12" t="str">
        <f t="shared" si="4"/>
        <v/>
      </c>
      <c r="I273" s="14" t="str">
        <f t="shared" si="2"/>
        <v>29/05</v>
      </c>
      <c r="J273" s="15" t="str">
        <f t="shared" si="3"/>
        <v>Matin</v>
      </c>
    </row>
    <row r="274" ht="14.25" customHeight="1">
      <c r="A274" s="17">
        <v>46171.0</v>
      </c>
      <c r="B274" s="18" t="s">
        <v>54</v>
      </c>
      <c r="C274" s="18" t="s">
        <v>27</v>
      </c>
      <c r="D274" s="19">
        <v>0.505555555555556</v>
      </c>
      <c r="E274" s="19">
        <v>0.583333333333333</v>
      </c>
      <c r="F274" s="12" t="str">
        <f t="shared" si="1"/>
        <v>112</v>
      </c>
      <c r="G274" s="18" t="s">
        <v>23</v>
      </c>
      <c r="H274" s="12" t="str">
        <f t="shared" si="4"/>
        <v/>
      </c>
      <c r="I274" s="14" t="str">
        <f t="shared" si="2"/>
        <v>29/05</v>
      </c>
      <c r="J274" s="15" t="str">
        <f t="shared" si="3"/>
        <v>Matin</v>
      </c>
    </row>
    <row r="275" ht="14.25" customHeight="1">
      <c r="A275" s="17">
        <v>46171.0</v>
      </c>
      <c r="B275" s="18" t="s">
        <v>67</v>
      </c>
      <c r="C275" s="18" t="s">
        <v>27</v>
      </c>
      <c r="D275" s="19">
        <v>0.590277777777778</v>
      </c>
      <c r="E275" s="19">
        <v>0.625</v>
      </c>
      <c r="F275" s="12" t="str">
        <f t="shared" si="1"/>
        <v>50</v>
      </c>
      <c r="G275" s="18" t="s">
        <v>65</v>
      </c>
      <c r="H275" s="12" t="str">
        <f t="shared" si="4"/>
        <v>10</v>
      </c>
      <c r="I275" s="14" t="str">
        <f t="shared" si="2"/>
        <v>29/05</v>
      </c>
      <c r="J275" s="15" t="str">
        <f t="shared" si="3"/>
        <v>Après-midi</v>
      </c>
    </row>
    <row r="276" ht="14.25" customHeight="1">
      <c r="A276" s="17">
        <v>46171.0</v>
      </c>
      <c r="B276" s="18" t="s">
        <v>67</v>
      </c>
      <c r="C276" s="18" t="s">
        <v>27</v>
      </c>
      <c r="D276" s="19">
        <v>0.628472222222222</v>
      </c>
      <c r="E276" s="19">
        <v>0.75</v>
      </c>
      <c r="F276" s="12" t="str">
        <f t="shared" si="1"/>
        <v>175</v>
      </c>
      <c r="G276" s="18" t="s">
        <v>23</v>
      </c>
      <c r="H276" s="12" t="str">
        <f t="shared" si="4"/>
        <v/>
      </c>
      <c r="I276" s="14" t="str">
        <f t="shared" si="2"/>
        <v>29/05</v>
      </c>
      <c r="J276" s="15" t="str">
        <f t="shared" si="3"/>
        <v>Après-midi</v>
      </c>
    </row>
    <row r="277" ht="14.25" customHeight="1">
      <c r="A277" s="17">
        <v>46171.0</v>
      </c>
      <c r="B277" s="18" t="s">
        <v>67</v>
      </c>
      <c r="C277" s="18" t="s">
        <v>27</v>
      </c>
      <c r="D277" s="19">
        <v>0.75625</v>
      </c>
      <c r="E277" s="19">
        <v>0.911805555555556</v>
      </c>
      <c r="F277" s="12" t="str">
        <f t="shared" si="1"/>
        <v>224</v>
      </c>
      <c r="G277" s="18" t="s">
        <v>23</v>
      </c>
      <c r="H277" s="12" t="str">
        <f t="shared" si="4"/>
        <v/>
      </c>
      <c r="I277" s="14" t="str">
        <f t="shared" si="2"/>
        <v>29/05</v>
      </c>
      <c r="J277" s="15" t="str">
        <f t="shared" si="3"/>
        <v>Après-midi</v>
      </c>
    </row>
    <row r="278" ht="14.25" customHeight="1">
      <c r="A278" s="17">
        <v>46171.0</v>
      </c>
      <c r="B278" s="18" t="s">
        <v>67</v>
      </c>
      <c r="C278" s="18" t="s">
        <v>27</v>
      </c>
      <c r="D278" s="19">
        <v>0.915277777777778</v>
      </c>
      <c r="E278" s="19">
        <v>0.916666666666667</v>
      </c>
      <c r="F278" s="12" t="str">
        <f t="shared" si="1"/>
        <v>2</v>
      </c>
      <c r="G278" s="18" t="s">
        <v>23</v>
      </c>
      <c r="H278" s="12" t="str">
        <f t="shared" si="4"/>
        <v/>
      </c>
      <c r="I278" s="14" t="str">
        <f t="shared" si="2"/>
        <v>29/05</v>
      </c>
      <c r="J278" s="15" t="str">
        <f t="shared" si="3"/>
        <v>Après-midi</v>
      </c>
    </row>
    <row r="279" ht="14.25" customHeight="1">
      <c r="A279" s="17">
        <v>46171.0</v>
      </c>
      <c r="B279" s="18" t="s">
        <v>66</v>
      </c>
      <c r="C279" s="18" t="s">
        <v>27</v>
      </c>
      <c r="D279" s="19">
        <v>0.916666666666667</v>
      </c>
      <c r="E279" s="19">
        <v>0.986111111111111</v>
      </c>
      <c r="F279" s="12" t="str">
        <f t="shared" si="1"/>
        <v>100</v>
      </c>
      <c r="G279" s="18" t="s">
        <v>23</v>
      </c>
      <c r="H279" s="12" t="str">
        <f t="shared" si="4"/>
        <v>0</v>
      </c>
      <c r="I279" s="14" t="str">
        <f t="shared" si="2"/>
        <v>29/05</v>
      </c>
      <c r="J279" s="15" t="str">
        <f t="shared" si="3"/>
        <v>Nuit</v>
      </c>
    </row>
    <row r="280" ht="14.25" customHeight="1">
      <c r="A280" s="20">
        <v>46171.0</v>
      </c>
      <c r="B280" s="21" t="s">
        <v>66</v>
      </c>
      <c r="C280" s="21" t="s">
        <v>27</v>
      </c>
      <c r="D280" s="22">
        <v>0.989583333333333</v>
      </c>
      <c r="E280" s="22">
        <v>0.00694444444444444</v>
      </c>
      <c r="F280" s="23" t="str">
        <f t="shared" si="1"/>
        <v>25</v>
      </c>
      <c r="G280" s="21" t="s">
        <v>65</v>
      </c>
      <c r="H280" s="12" t="str">
        <f t="shared" si="4"/>
        <v/>
      </c>
      <c r="I280" s="14" t="str">
        <f t="shared" si="2"/>
        <v>29/05</v>
      </c>
      <c r="J280" s="15" t="str">
        <f t="shared" si="3"/>
        <v>Nuit</v>
      </c>
      <c r="K280" s="24"/>
    </row>
    <row r="281" ht="14.25" customHeight="1">
      <c r="A281" s="17">
        <v>46172.0</v>
      </c>
      <c r="B281" s="18" t="s">
        <v>66</v>
      </c>
      <c r="C281" s="18" t="s">
        <v>27</v>
      </c>
      <c r="D281" s="19">
        <v>0.0159722222222222</v>
      </c>
      <c r="E281" s="19">
        <v>0.0798611111111111</v>
      </c>
      <c r="F281" s="12" t="str">
        <f t="shared" si="1"/>
        <v>92</v>
      </c>
      <c r="G281" s="18" t="s">
        <v>65</v>
      </c>
      <c r="H281" s="12" t="str">
        <f t="shared" si="4"/>
        <v/>
      </c>
      <c r="I281" s="14" t="str">
        <f t="shared" si="2"/>
        <v>29/05</v>
      </c>
      <c r="J281" s="15" t="str">
        <f t="shared" si="3"/>
        <v>Nuit</v>
      </c>
    </row>
    <row r="282" ht="14.25" customHeight="1">
      <c r="A282" s="17">
        <v>46172.0</v>
      </c>
      <c r="B282" s="18" t="s">
        <v>66</v>
      </c>
      <c r="C282" s="18" t="s">
        <v>27</v>
      </c>
      <c r="D282" s="19">
        <v>0.0840277777777778</v>
      </c>
      <c r="E282" s="19">
        <v>0.180555555555556</v>
      </c>
      <c r="F282" s="12" t="str">
        <f t="shared" si="1"/>
        <v>139</v>
      </c>
      <c r="G282" s="18" t="s">
        <v>23</v>
      </c>
      <c r="H282" s="12" t="str">
        <f t="shared" si="4"/>
        <v/>
      </c>
      <c r="I282" s="14" t="str">
        <f t="shared" si="2"/>
        <v>29/05</v>
      </c>
      <c r="J282" s="15" t="str">
        <f t="shared" si="3"/>
        <v>Nuit</v>
      </c>
    </row>
    <row r="283" ht="14.25" customHeight="1">
      <c r="A283" s="17">
        <v>46172.0</v>
      </c>
      <c r="B283" s="18" t="s">
        <v>66</v>
      </c>
      <c r="C283" s="18" t="s">
        <v>27</v>
      </c>
      <c r="D283" s="19">
        <v>0.184722222222222</v>
      </c>
      <c r="E283" s="19">
        <v>0.190972222222222</v>
      </c>
      <c r="F283" s="12" t="str">
        <f t="shared" si="1"/>
        <v>9</v>
      </c>
      <c r="G283" s="18" t="s">
        <v>23</v>
      </c>
      <c r="H283" s="12" t="str">
        <f t="shared" si="4"/>
        <v/>
      </c>
      <c r="I283" s="14" t="str">
        <f t="shared" si="2"/>
        <v>29/05</v>
      </c>
      <c r="J283" s="15" t="str">
        <f t="shared" si="3"/>
        <v>Nuit</v>
      </c>
    </row>
    <row r="284" ht="14.25" customHeight="1">
      <c r="A284" s="17">
        <v>46172.0</v>
      </c>
      <c r="B284" s="18" t="s">
        <v>66</v>
      </c>
      <c r="C284" s="18" t="s">
        <v>27</v>
      </c>
      <c r="D284" s="19">
        <v>0.213194444444444</v>
      </c>
      <c r="E284" s="19">
        <v>0.25</v>
      </c>
      <c r="F284" s="12" t="str">
        <f t="shared" si="1"/>
        <v>53</v>
      </c>
      <c r="G284" s="18" t="s">
        <v>23</v>
      </c>
      <c r="H284" s="12" t="str">
        <f t="shared" si="4"/>
        <v/>
      </c>
      <c r="I284" s="14" t="str">
        <f t="shared" si="2"/>
        <v>29/05</v>
      </c>
      <c r="J284" s="15" t="str">
        <f t="shared" si="3"/>
        <v>Nuit</v>
      </c>
    </row>
    <row r="285" ht="14.25" customHeight="1">
      <c r="A285" s="17">
        <v>46172.0</v>
      </c>
      <c r="B285" s="18" t="s">
        <v>54</v>
      </c>
      <c r="C285" s="18" t="s">
        <v>27</v>
      </c>
      <c r="D285" s="19">
        <v>0.25</v>
      </c>
      <c r="E285" s="19">
        <v>0.329861111111111</v>
      </c>
      <c r="F285" s="12" t="str">
        <f t="shared" si="1"/>
        <v>115</v>
      </c>
      <c r="G285" s="18" t="s">
        <v>35</v>
      </c>
      <c r="H285" s="12" t="str">
        <f t="shared" si="4"/>
        <v>0</v>
      </c>
      <c r="I285" s="14" t="str">
        <f t="shared" si="2"/>
        <v>30/05</v>
      </c>
      <c r="J285" s="15" t="str">
        <f t="shared" si="3"/>
        <v>Matin</v>
      </c>
    </row>
    <row r="286" ht="14.25" customHeight="1">
      <c r="A286" s="17">
        <v>46172.0</v>
      </c>
      <c r="B286" s="18" t="s">
        <v>54</v>
      </c>
      <c r="C286" s="18" t="s">
        <v>27</v>
      </c>
      <c r="D286" s="19">
        <v>0.335416666666667</v>
      </c>
      <c r="E286" s="19">
        <v>0.342361111111111</v>
      </c>
      <c r="F286" s="12" t="str">
        <f t="shared" si="1"/>
        <v>10</v>
      </c>
      <c r="G286" s="18" t="s">
        <v>35</v>
      </c>
      <c r="H286" s="12" t="str">
        <f t="shared" si="4"/>
        <v/>
      </c>
      <c r="I286" s="14" t="str">
        <f t="shared" si="2"/>
        <v>30/05</v>
      </c>
      <c r="J286" s="15" t="str">
        <f t="shared" si="3"/>
        <v>Matin</v>
      </c>
    </row>
    <row r="287" ht="14.25" customHeight="1">
      <c r="A287" s="17">
        <v>46172.0</v>
      </c>
      <c r="B287" s="18" t="s">
        <v>54</v>
      </c>
      <c r="C287" s="18" t="s">
        <v>27</v>
      </c>
      <c r="D287" s="19">
        <v>0.352083333333333</v>
      </c>
      <c r="E287" s="19">
        <v>0.404861111111111</v>
      </c>
      <c r="F287" s="12" t="str">
        <f t="shared" si="1"/>
        <v>76</v>
      </c>
      <c r="G287" s="18" t="s">
        <v>65</v>
      </c>
      <c r="H287" s="12" t="str">
        <f t="shared" si="4"/>
        <v/>
      </c>
      <c r="I287" s="14" t="str">
        <f t="shared" si="2"/>
        <v>30/05</v>
      </c>
      <c r="J287" s="15" t="str">
        <f t="shared" si="3"/>
        <v>Matin</v>
      </c>
    </row>
    <row r="288" ht="14.25" customHeight="1">
      <c r="A288" s="17">
        <v>46172.0</v>
      </c>
      <c r="B288" s="18" t="s">
        <v>54</v>
      </c>
      <c r="C288" s="18" t="s">
        <v>27</v>
      </c>
      <c r="D288" s="19">
        <v>0.413194444444444</v>
      </c>
      <c r="E288" s="19">
        <v>0.502083333333333</v>
      </c>
      <c r="F288" s="12" t="str">
        <f t="shared" si="1"/>
        <v>128</v>
      </c>
      <c r="G288" s="18" t="s">
        <v>23</v>
      </c>
      <c r="H288" s="12" t="str">
        <f t="shared" si="4"/>
        <v/>
      </c>
      <c r="I288" s="14" t="str">
        <f t="shared" si="2"/>
        <v>30/05</v>
      </c>
      <c r="J288" s="15" t="str">
        <f t="shared" si="3"/>
        <v>Matin</v>
      </c>
    </row>
    <row r="289" ht="14.25" customHeight="1">
      <c r="A289" s="17">
        <v>46172.0</v>
      </c>
      <c r="B289" s="18" t="s">
        <v>54</v>
      </c>
      <c r="C289" s="18" t="s">
        <v>27</v>
      </c>
      <c r="D289" s="19">
        <v>0.506944444444444</v>
      </c>
      <c r="E289" s="19">
        <v>0.545138888888889</v>
      </c>
      <c r="F289" s="12" t="str">
        <f t="shared" si="1"/>
        <v>55</v>
      </c>
      <c r="G289" s="18" t="s">
        <v>35</v>
      </c>
      <c r="H289" s="12" t="str">
        <f t="shared" si="4"/>
        <v/>
      </c>
      <c r="I289" s="14" t="str">
        <f t="shared" si="2"/>
        <v>30/05</v>
      </c>
      <c r="J289" s="15" t="str">
        <f t="shared" si="3"/>
        <v>Matin</v>
      </c>
    </row>
    <row r="290" ht="14.25" customHeight="1">
      <c r="A290" s="17">
        <v>46172.0</v>
      </c>
      <c r="B290" s="18" t="s">
        <v>54</v>
      </c>
      <c r="C290" s="18" t="s">
        <v>27</v>
      </c>
      <c r="D290" s="19">
        <v>0.555555555555556</v>
      </c>
      <c r="E290" s="19">
        <v>0.583333333333333</v>
      </c>
      <c r="F290" s="12" t="str">
        <f t="shared" si="1"/>
        <v>40</v>
      </c>
      <c r="G290" s="18" t="s">
        <v>35</v>
      </c>
      <c r="H290" s="12" t="str">
        <f t="shared" si="4"/>
        <v/>
      </c>
      <c r="I290" s="14" t="str">
        <f t="shared" si="2"/>
        <v>30/05</v>
      </c>
      <c r="J290" s="15" t="str">
        <f t="shared" si="3"/>
        <v>Matin</v>
      </c>
    </row>
    <row r="291" ht="14.25" customHeight="1">
      <c r="A291" s="17">
        <v>46172.0</v>
      </c>
      <c r="B291" s="18" t="s">
        <v>67</v>
      </c>
      <c r="C291" s="18" t="s">
        <v>27</v>
      </c>
      <c r="D291" s="19">
        <v>0.586805555555556</v>
      </c>
      <c r="E291" s="19">
        <v>0.629166666666667</v>
      </c>
      <c r="F291" s="12" t="str">
        <f t="shared" si="1"/>
        <v>61</v>
      </c>
      <c r="G291" s="18" t="s">
        <v>23</v>
      </c>
      <c r="H291" s="12" t="str">
        <f t="shared" si="4"/>
        <v>5</v>
      </c>
      <c r="I291" s="14" t="str">
        <f t="shared" si="2"/>
        <v>30/05</v>
      </c>
      <c r="J291" s="15" t="str">
        <f t="shared" si="3"/>
        <v>Après-midi</v>
      </c>
    </row>
    <row r="292" ht="14.25" customHeight="1">
      <c r="A292" s="17">
        <v>46172.0</v>
      </c>
      <c r="B292" s="18" t="s">
        <v>67</v>
      </c>
      <c r="C292" s="18" t="s">
        <v>27</v>
      </c>
      <c r="D292" s="19">
        <v>0.634722222222222</v>
      </c>
      <c r="E292" s="19">
        <v>0.690277777777778</v>
      </c>
      <c r="F292" s="12" t="str">
        <f t="shared" si="1"/>
        <v>80</v>
      </c>
      <c r="G292" s="18" t="s">
        <v>23</v>
      </c>
      <c r="H292" s="12" t="str">
        <f t="shared" si="4"/>
        <v/>
      </c>
      <c r="I292" s="14" t="str">
        <f t="shared" si="2"/>
        <v>30/05</v>
      </c>
      <c r="J292" s="15" t="str">
        <f t="shared" si="3"/>
        <v>Après-midi</v>
      </c>
    </row>
    <row r="293" ht="14.25" customHeight="1">
      <c r="A293" s="17">
        <v>46172.0</v>
      </c>
      <c r="B293" s="18" t="s">
        <v>67</v>
      </c>
      <c r="C293" s="18" t="s">
        <v>27</v>
      </c>
      <c r="D293" s="19">
        <v>0.695833333333333</v>
      </c>
      <c r="E293" s="19">
        <v>0.75</v>
      </c>
      <c r="F293" s="12" t="str">
        <f t="shared" si="1"/>
        <v>78</v>
      </c>
      <c r="G293" s="18" t="s">
        <v>26</v>
      </c>
      <c r="H293" s="12" t="str">
        <f t="shared" si="4"/>
        <v/>
      </c>
      <c r="I293" s="14" t="str">
        <f t="shared" si="2"/>
        <v>30/05</v>
      </c>
      <c r="J293" s="15" t="str">
        <f t="shared" si="3"/>
        <v>Après-midi</v>
      </c>
    </row>
    <row r="294" ht="14.25" customHeight="1">
      <c r="A294" s="17">
        <v>46172.0</v>
      </c>
      <c r="B294" s="18" t="s">
        <v>67</v>
      </c>
      <c r="C294" s="18" t="s">
        <v>27</v>
      </c>
      <c r="D294" s="19">
        <v>0.755555555555556</v>
      </c>
      <c r="E294" s="19">
        <v>0.916666666666667</v>
      </c>
      <c r="F294" s="12" t="str">
        <f t="shared" si="1"/>
        <v>232</v>
      </c>
      <c r="G294" s="18" t="s">
        <v>23</v>
      </c>
      <c r="H294" s="12" t="str">
        <f t="shared" si="4"/>
        <v/>
      </c>
      <c r="I294" s="14" t="str">
        <f t="shared" si="2"/>
        <v>30/05</v>
      </c>
      <c r="J294" s="15" t="str">
        <f t="shared" si="3"/>
        <v>Après-midi</v>
      </c>
    </row>
    <row r="295" ht="14.25" customHeight="1">
      <c r="A295" s="20">
        <v>46172.0</v>
      </c>
      <c r="B295" s="21" t="s">
        <v>66</v>
      </c>
      <c r="C295" s="21" t="s">
        <v>27</v>
      </c>
      <c r="D295" s="22">
        <v>0.922916666666667</v>
      </c>
      <c r="E295" s="22">
        <v>0.0409722222222222</v>
      </c>
      <c r="F295" s="23" t="str">
        <f t="shared" si="1"/>
        <v>170</v>
      </c>
      <c r="G295" s="21" t="s">
        <v>71</v>
      </c>
      <c r="H295" s="12" t="str">
        <f t="shared" si="4"/>
        <v>9</v>
      </c>
      <c r="I295" s="14" t="str">
        <f t="shared" si="2"/>
        <v>30/05</v>
      </c>
      <c r="J295" s="15" t="str">
        <f t="shared" si="3"/>
        <v>Nuit</v>
      </c>
      <c r="K295" s="24"/>
    </row>
    <row r="296" ht="14.25" customHeight="1">
      <c r="A296" s="17">
        <v>46173.0</v>
      </c>
      <c r="B296" s="18" t="s">
        <v>66</v>
      </c>
      <c r="C296" s="18" t="s">
        <v>27</v>
      </c>
      <c r="D296" s="19">
        <v>0.0506944444444444</v>
      </c>
      <c r="E296" s="19">
        <v>0.155555555555556</v>
      </c>
      <c r="F296" s="12" t="str">
        <f t="shared" si="1"/>
        <v>151</v>
      </c>
      <c r="G296" s="18" t="s">
        <v>23</v>
      </c>
      <c r="H296" s="12" t="str">
        <f t="shared" si="4"/>
        <v/>
      </c>
      <c r="I296" s="14" t="str">
        <f t="shared" si="2"/>
        <v>30/05</v>
      </c>
      <c r="J296" s="15" t="str">
        <f t="shared" si="3"/>
        <v>Nuit</v>
      </c>
    </row>
    <row r="297" ht="14.25" customHeight="1">
      <c r="A297" s="17">
        <v>46173.0</v>
      </c>
      <c r="B297" s="18" t="s">
        <v>66</v>
      </c>
      <c r="C297" s="18" t="s">
        <v>27</v>
      </c>
      <c r="D297" s="19">
        <v>0.161111111111111</v>
      </c>
      <c r="E297" s="19">
        <v>0.200694444444445</v>
      </c>
      <c r="F297" s="12" t="str">
        <f t="shared" si="1"/>
        <v>57</v>
      </c>
      <c r="G297" s="18" t="s">
        <v>23</v>
      </c>
      <c r="H297" s="12" t="str">
        <f t="shared" si="4"/>
        <v/>
      </c>
      <c r="I297" s="14" t="str">
        <f t="shared" si="2"/>
        <v>30/05</v>
      </c>
      <c r="J297" s="15" t="str">
        <f t="shared" si="3"/>
        <v>Nuit</v>
      </c>
    </row>
    <row r="298" ht="14.25" customHeight="1">
      <c r="A298" s="17">
        <v>46173.0</v>
      </c>
      <c r="B298" s="18" t="s">
        <v>66</v>
      </c>
      <c r="C298" s="18" t="s">
        <v>27</v>
      </c>
      <c r="D298" s="19">
        <v>0.20625</v>
      </c>
      <c r="E298" s="19">
        <v>0.25</v>
      </c>
      <c r="F298" s="12" t="str">
        <f t="shared" si="1"/>
        <v>63</v>
      </c>
      <c r="G298" s="18" t="s">
        <v>23</v>
      </c>
      <c r="H298" s="12" t="str">
        <f t="shared" si="4"/>
        <v/>
      </c>
      <c r="I298" s="14" t="str">
        <f t="shared" si="2"/>
        <v>30/05</v>
      </c>
      <c r="J298" s="15" t="str">
        <f t="shared" si="3"/>
        <v>Nuit</v>
      </c>
    </row>
    <row r="299" ht="14.25" customHeight="1">
      <c r="A299" s="17">
        <v>46173.0</v>
      </c>
      <c r="B299" s="18" t="s">
        <v>67</v>
      </c>
      <c r="C299" s="18" t="s">
        <v>27</v>
      </c>
      <c r="D299" s="19">
        <v>0.254861111111111</v>
      </c>
      <c r="E299" s="19">
        <v>0.325</v>
      </c>
      <c r="F299" s="12" t="str">
        <f t="shared" si="1"/>
        <v>101</v>
      </c>
      <c r="G299" s="18" t="s">
        <v>23</v>
      </c>
      <c r="H299" s="12" t="str">
        <f t="shared" si="4"/>
        <v>7</v>
      </c>
      <c r="I299" s="14" t="str">
        <f t="shared" si="2"/>
        <v>31/05</v>
      </c>
      <c r="J299" s="15" t="str">
        <f t="shared" si="3"/>
        <v>Matin</v>
      </c>
    </row>
    <row r="300" ht="14.25" customHeight="1">
      <c r="A300" s="17">
        <v>46173.0</v>
      </c>
      <c r="B300" s="18" t="s">
        <v>67</v>
      </c>
      <c r="C300" s="18" t="s">
        <v>27</v>
      </c>
      <c r="D300" s="19">
        <v>0.33125</v>
      </c>
      <c r="E300" s="19">
        <v>0.395138888888889</v>
      </c>
      <c r="F300" s="12" t="str">
        <f t="shared" si="1"/>
        <v>92</v>
      </c>
      <c r="G300" s="18" t="s">
        <v>23</v>
      </c>
      <c r="H300" s="12" t="str">
        <f t="shared" si="4"/>
        <v/>
      </c>
      <c r="I300" s="14" t="str">
        <f t="shared" si="2"/>
        <v>31/05</v>
      </c>
      <c r="J300" s="15" t="str">
        <f t="shared" si="3"/>
        <v>Matin</v>
      </c>
    </row>
    <row r="301" ht="14.25" customHeight="1">
      <c r="A301" s="17">
        <v>46173.0</v>
      </c>
      <c r="B301" s="18" t="s">
        <v>67</v>
      </c>
      <c r="C301" s="18" t="s">
        <v>27</v>
      </c>
      <c r="D301" s="19">
        <v>0.400694444444445</v>
      </c>
      <c r="E301" s="19">
        <v>0.583333333333333</v>
      </c>
      <c r="F301" s="12" t="str">
        <f t="shared" si="1"/>
        <v>263</v>
      </c>
      <c r="G301" s="18" t="s">
        <v>23</v>
      </c>
      <c r="H301" s="12" t="str">
        <f t="shared" si="4"/>
        <v/>
      </c>
      <c r="I301" s="14" t="str">
        <f t="shared" si="2"/>
        <v>31/05</v>
      </c>
      <c r="J301" s="15" t="str">
        <f t="shared" si="3"/>
        <v>Matin</v>
      </c>
    </row>
    <row r="302" ht="14.25" customHeight="1">
      <c r="A302" s="17">
        <v>46173.0</v>
      </c>
      <c r="B302" s="18" t="s">
        <v>54</v>
      </c>
      <c r="C302" s="18" t="s">
        <v>27</v>
      </c>
      <c r="D302" s="19">
        <v>0.583333333333333</v>
      </c>
      <c r="E302" s="19">
        <v>0.701388888888889</v>
      </c>
      <c r="F302" s="12" t="str">
        <f t="shared" si="1"/>
        <v>170</v>
      </c>
      <c r="G302" s="18" t="s">
        <v>23</v>
      </c>
      <c r="H302" s="12" t="str">
        <f t="shared" si="4"/>
        <v>0</v>
      </c>
      <c r="I302" s="14" t="str">
        <f t="shared" si="2"/>
        <v>31/05</v>
      </c>
      <c r="J302" s="15" t="str">
        <f t="shared" si="3"/>
        <v>Après-midi</v>
      </c>
    </row>
    <row r="303" ht="14.25" customHeight="1">
      <c r="A303" s="17">
        <v>46173.0</v>
      </c>
      <c r="B303" s="18" t="s">
        <v>54</v>
      </c>
      <c r="C303" s="18" t="s">
        <v>27</v>
      </c>
      <c r="D303" s="19">
        <v>0.711111111111111</v>
      </c>
      <c r="E303" s="19">
        <v>0.729166666666667</v>
      </c>
      <c r="F303" s="12" t="str">
        <f t="shared" si="1"/>
        <v>26</v>
      </c>
      <c r="G303" s="18" t="s">
        <v>35</v>
      </c>
      <c r="H303" s="12" t="str">
        <f t="shared" si="4"/>
        <v/>
      </c>
      <c r="I303" s="14" t="str">
        <f t="shared" si="2"/>
        <v>31/05</v>
      </c>
      <c r="J303" s="15" t="str">
        <f t="shared" si="3"/>
        <v>Après-midi</v>
      </c>
    </row>
    <row r="304" ht="14.25" customHeight="1">
      <c r="A304" s="17">
        <v>46173.0</v>
      </c>
      <c r="B304" s="18" t="s">
        <v>54</v>
      </c>
      <c r="C304" s="18" t="s">
        <v>27</v>
      </c>
      <c r="D304" s="19">
        <v>0.733333333333333</v>
      </c>
      <c r="E304" s="19">
        <v>0.895833333333333</v>
      </c>
      <c r="F304" s="12" t="str">
        <f t="shared" si="1"/>
        <v>234</v>
      </c>
      <c r="G304" s="18" t="s">
        <v>23</v>
      </c>
      <c r="H304" s="12" t="str">
        <f t="shared" si="4"/>
        <v/>
      </c>
      <c r="I304" s="14" t="str">
        <f t="shared" si="2"/>
        <v>31/05</v>
      </c>
      <c r="J304" s="15" t="str">
        <f t="shared" si="3"/>
        <v>Après-midi</v>
      </c>
    </row>
    <row r="305" ht="14.25" customHeight="1">
      <c r="A305" s="17">
        <v>46173.0</v>
      </c>
      <c r="B305" s="18" t="s">
        <v>54</v>
      </c>
      <c r="C305" s="18" t="s">
        <v>27</v>
      </c>
      <c r="D305" s="19">
        <v>0.902777777777778</v>
      </c>
      <c r="E305" s="19">
        <v>0.916666666666667</v>
      </c>
      <c r="F305" s="12" t="str">
        <f t="shared" si="1"/>
        <v>20</v>
      </c>
      <c r="G305" s="18" t="s">
        <v>23</v>
      </c>
      <c r="H305" s="12" t="str">
        <f t="shared" si="4"/>
        <v/>
      </c>
      <c r="I305" s="14" t="str">
        <f t="shared" si="2"/>
        <v>31/05</v>
      </c>
      <c r="J305" s="15" t="str">
        <f t="shared" si="3"/>
        <v>Après-midi</v>
      </c>
    </row>
    <row r="306" ht="14.25" customHeight="1">
      <c r="A306" s="17">
        <v>46173.0</v>
      </c>
      <c r="B306" s="18" t="s">
        <v>66</v>
      </c>
      <c r="C306" s="18" t="s">
        <v>27</v>
      </c>
      <c r="D306" s="19">
        <v>0.917361111111111</v>
      </c>
      <c r="E306" s="19">
        <v>0.996527777777778</v>
      </c>
      <c r="F306" s="12" t="str">
        <f t="shared" si="1"/>
        <v>114</v>
      </c>
      <c r="G306" s="18" t="s">
        <v>71</v>
      </c>
      <c r="H306" s="12" t="str">
        <f t="shared" si="4"/>
        <v>1</v>
      </c>
      <c r="I306" s="14" t="str">
        <f t="shared" si="2"/>
        <v>31/05</v>
      </c>
      <c r="J306" s="15" t="str">
        <f t="shared" si="3"/>
        <v>Nuit</v>
      </c>
    </row>
    <row r="307" ht="14.25" customHeight="1">
      <c r="A307" s="20">
        <v>46173.0</v>
      </c>
      <c r="B307" s="21" t="s">
        <v>66</v>
      </c>
      <c r="C307" s="21" t="s">
        <v>27</v>
      </c>
      <c r="D307" s="22">
        <v>0.990277777777778</v>
      </c>
      <c r="E307" s="22">
        <v>0.0979166666666667</v>
      </c>
      <c r="F307" s="23" t="str">
        <f t="shared" si="1"/>
        <v>155</v>
      </c>
      <c r="G307" s="21" t="s">
        <v>23</v>
      </c>
      <c r="H307" s="12" t="str">
        <f t="shared" si="4"/>
        <v/>
      </c>
      <c r="I307" s="14" t="str">
        <f t="shared" si="2"/>
        <v>31/05</v>
      </c>
      <c r="J307" s="15" t="str">
        <f t="shared" si="3"/>
        <v>Nuit</v>
      </c>
      <c r="K307" s="24"/>
    </row>
    <row r="308" ht="14.25" customHeight="1">
      <c r="A308" s="17">
        <v>46174.0</v>
      </c>
      <c r="B308" s="18" t="s">
        <v>66</v>
      </c>
      <c r="C308" s="18" t="s">
        <v>27</v>
      </c>
      <c r="D308" s="19">
        <v>0.10625</v>
      </c>
      <c r="E308" s="19">
        <v>0.166666666666667</v>
      </c>
      <c r="F308" s="12" t="str">
        <f t="shared" si="1"/>
        <v>87</v>
      </c>
      <c r="G308" s="18" t="s">
        <v>23</v>
      </c>
      <c r="H308" s="12" t="str">
        <f t="shared" si="4"/>
        <v/>
      </c>
      <c r="I308" s="14" t="str">
        <f t="shared" si="2"/>
        <v>31/05</v>
      </c>
      <c r="J308" s="15" t="str">
        <f t="shared" si="3"/>
        <v>Nuit</v>
      </c>
    </row>
    <row r="309" ht="14.25" customHeight="1">
      <c r="A309" s="17">
        <v>46174.0</v>
      </c>
      <c r="B309" s="18" t="s">
        <v>66</v>
      </c>
      <c r="C309" s="18" t="s">
        <v>27</v>
      </c>
      <c r="D309" s="19">
        <v>0.174305555555556</v>
      </c>
      <c r="E309" s="19">
        <v>0.25</v>
      </c>
      <c r="F309" s="12" t="str">
        <f t="shared" si="1"/>
        <v>109</v>
      </c>
      <c r="G309" s="18" t="s">
        <v>23</v>
      </c>
      <c r="H309" s="12" t="str">
        <f t="shared" si="4"/>
        <v/>
      </c>
      <c r="I309" s="14" t="str">
        <f t="shared" si="2"/>
        <v>31/05</v>
      </c>
      <c r="J309" s="15" t="str">
        <f t="shared" si="3"/>
        <v>Nuit</v>
      </c>
    </row>
    <row r="310" ht="14.25" customHeight="1">
      <c r="A310" s="17">
        <v>46174.0</v>
      </c>
      <c r="B310" s="18" t="s">
        <v>67</v>
      </c>
      <c r="C310" s="18" t="s">
        <v>27</v>
      </c>
      <c r="D310" s="19">
        <v>0.252083333333333</v>
      </c>
      <c r="E310" s="19">
        <v>0.297916666666667</v>
      </c>
      <c r="F310" s="12" t="str">
        <f t="shared" si="1"/>
        <v>66</v>
      </c>
      <c r="G310" s="18" t="s">
        <v>26</v>
      </c>
      <c r="H310" s="12" t="str">
        <f t="shared" si="4"/>
        <v>3</v>
      </c>
      <c r="I310" s="14" t="str">
        <f t="shared" si="2"/>
        <v>01/06</v>
      </c>
      <c r="J310" s="15" t="str">
        <f t="shared" si="3"/>
        <v>Matin</v>
      </c>
    </row>
    <row r="311" ht="14.25" customHeight="1">
      <c r="A311" s="17">
        <v>46174.0</v>
      </c>
      <c r="B311" s="18" t="s">
        <v>67</v>
      </c>
      <c r="C311" s="18" t="s">
        <v>27</v>
      </c>
      <c r="D311" s="19">
        <v>0.305555555555556</v>
      </c>
      <c r="E311" s="19">
        <v>0.375</v>
      </c>
      <c r="F311" s="12" t="str">
        <f t="shared" si="1"/>
        <v>100</v>
      </c>
      <c r="G311" s="18" t="s">
        <v>23</v>
      </c>
      <c r="H311" s="12" t="str">
        <f t="shared" si="4"/>
        <v/>
      </c>
      <c r="I311" s="14" t="str">
        <f t="shared" si="2"/>
        <v>01/06</v>
      </c>
      <c r="J311" s="15" t="str">
        <f t="shared" si="3"/>
        <v>Matin</v>
      </c>
    </row>
    <row r="312" ht="14.25" customHeight="1">
      <c r="A312" s="17">
        <v>46174.0</v>
      </c>
      <c r="B312" s="18" t="s">
        <v>67</v>
      </c>
      <c r="C312" s="18" t="s">
        <v>27</v>
      </c>
      <c r="D312" s="19">
        <v>0.382638888888889</v>
      </c>
      <c r="E312" s="19">
        <v>0.523611111111111</v>
      </c>
      <c r="F312" s="12" t="str">
        <f t="shared" si="1"/>
        <v>203</v>
      </c>
      <c r="G312" s="18" t="s">
        <v>23</v>
      </c>
      <c r="H312" s="12" t="str">
        <f t="shared" si="4"/>
        <v/>
      </c>
      <c r="I312" s="14" t="str">
        <f t="shared" si="2"/>
        <v>01/06</v>
      </c>
      <c r="J312" s="15" t="str">
        <f t="shared" si="3"/>
        <v>Matin</v>
      </c>
    </row>
    <row r="313" ht="14.25" customHeight="1">
      <c r="A313" s="17">
        <v>46174.0</v>
      </c>
      <c r="B313" s="18" t="s">
        <v>67</v>
      </c>
      <c r="C313" s="18" t="s">
        <v>27</v>
      </c>
      <c r="D313" s="19">
        <v>0.528472222222222</v>
      </c>
      <c r="E313" s="19">
        <v>0.551388888888889</v>
      </c>
      <c r="F313" s="12" t="str">
        <f t="shared" si="1"/>
        <v>33</v>
      </c>
      <c r="G313" s="18" t="s">
        <v>65</v>
      </c>
      <c r="H313" s="12" t="str">
        <f t="shared" si="4"/>
        <v/>
      </c>
      <c r="I313" s="14" t="str">
        <f t="shared" si="2"/>
        <v>01/06</v>
      </c>
      <c r="J313" s="15" t="str">
        <f t="shared" si="3"/>
        <v>Matin</v>
      </c>
    </row>
    <row r="314" ht="14.25" customHeight="1">
      <c r="A314" s="17">
        <v>46174.0</v>
      </c>
      <c r="B314" s="18" t="s">
        <v>67</v>
      </c>
      <c r="C314" s="18" t="s">
        <v>27</v>
      </c>
      <c r="D314" s="19">
        <v>0.559027777777778</v>
      </c>
      <c r="E314" s="19">
        <v>0.583333333333333</v>
      </c>
      <c r="F314" s="12" t="str">
        <f t="shared" si="1"/>
        <v>35</v>
      </c>
      <c r="G314" s="18" t="s">
        <v>23</v>
      </c>
      <c r="H314" s="12" t="str">
        <f t="shared" si="4"/>
        <v/>
      </c>
      <c r="I314" s="14" t="str">
        <f t="shared" si="2"/>
        <v>01/06</v>
      </c>
      <c r="J314" s="15" t="str">
        <f t="shared" si="3"/>
        <v>Matin</v>
      </c>
    </row>
    <row r="315" ht="14.25" customHeight="1">
      <c r="A315" s="17">
        <v>46174.0</v>
      </c>
      <c r="B315" s="18" t="s">
        <v>54</v>
      </c>
      <c r="C315" s="18" t="s">
        <v>27</v>
      </c>
      <c r="D315" s="19">
        <v>0.583333333333333</v>
      </c>
      <c r="E315" s="19">
        <v>0.645833333333333</v>
      </c>
      <c r="F315" s="12" t="str">
        <f t="shared" si="1"/>
        <v>90</v>
      </c>
      <c r="G315" s="18" t="s">
        <v>23</v>
      </c>
      <c r="H315" s="12" t="str">
        <f t="shared" si="4"/>
        <v>0</v>
      </c>
      <c r="I315" s="14" t="str">
        <f t="shared" si="2"/>
        <v>01/06</v>
      </c>
      <c r="J315" s="15" t="str">
        <f t="shared" si="3"/>
        <v>Après-midi</v>
      </c>
    </row>
    <row r="316" ht="14.25" customHeight="1">
      <c r="A316" s="17">
        <v>46174.0</v>
      </c>
      <c r="B316" s="18" t="s">
        <v>54</v>
      </c>
      <c r="C316" s="18" t="s">
        <v>27</v>
      </c>
      <c r="D316" s="19">
        <v>0.65625</v>
      </c>
      <c r="E316" s="19">
        <v>0.684722222222222</v>
      </c>
      <c r="F316" s="12" t="str">
        <f t="shared" si="1"/>
        <v>41</v>
      </c>
      <c r="G316" s="18" t="s">
        <v>65</v>
      </c>
      <c r="H316" s="12" t="str">
        <f t="shared" si="4"/>
        <v/>
      </c>
      <c r="I316" s="14" t="str">
        <f t="shared" si="2"/>
        <v>01/06</v>
      </c>
      <c r="J316" s="15" t="str">
        <f t="shared" si="3"/>
        <v>Après-midi</v>
      </c>
    </row>
    <row r="317" ht="14.25" customHeight="1">
      <c r="A317" s="17">
        <v>46174.0</v>
      </c>
      <c r="B317" s="18" t="s">
        <v>54</v>
      </c>
      <c r="C317" s="18" t="s">
        <v>27</v>
      </c>
      <c r="D317" s="19">
        <v>0.688888888888889</v>
      </c>
      <c r="E317" s="19">
        <v>0.76875</v>
      </c>
      <c r="F317" s="12" t="str">
        <f t="shared" si="1"/>
        <v>115</v>
      </c>
      <c r="G317" s="18" t="s">
        <v>70</v>
      </c>
      <c r="H317" s="12" t="str">
        <f t="shared" si="4"/>
        <v/>
      </c>
      <c r="I317" s="14" t="str">
        <f t="shared" si="2"/>
        <v>01/06</v>
      </c>
      <c r="J317" s="15" t="str">
        <f t="shared" si="3"/>
        <v>Après-midi</v>
      </c>
    </row>
    <row r="318" ht="14.25" customHeight="1">
      <c r="A318" s="17">
        <v>46174.0</v>
      </c>
      <c r="B318" s="18" t="s">
        <v>54</v>
      </c>
      <c r="C318" s="18" t="s">
        <v>27</v>
      </c>
      <c r="D318" s="19">
        <v>0.8125</v>
      </c>
      <c r="E318" s="19">
        <v>0.916666666666667</v>
      </c>
      <c r="F318" s="12" t="str">
        <f t="shared" si="1"/>
        <v>150</v>
      </c>
      <c r="G318" s="18" t="s">
        <v>23</v>
      </c>
      <c r="H318" s="12" t="str">
        <f t="shared" si="4"/>
        <v/>
      </c>
      <c r="I318" s="14" t="str">
        <f t="shared" si="2"/>
        <v>01/06</v>
      </c>
      <c r="J318" s="15" t="str">
        <f t="shared" si="3"/>
        <v>Après-midi</v>
      </c>
    </row>
    <row r="319" ht="14.25" customHeight="1">
      <c r="A319" s="20">
        <v>46174.0</v>
      </c>
      <c r="B319" s="21" t="s">
        <v>66</v>
      </c>
      <c r="C319" s="21" t="s">
        <v>27</v>
      </c>
      <c r="D319" s="22">
        <v>0.924305555555556</v>
      </c>
      <c r="E319" s="22">
        <v>0.00138888888888889</v>
      </c>
      <c r="F319" s="23" t="str">
        <f t="shared" si="1"/>
        <v>111</v>
      </c>
      <c r="G319" s="21" t="s">
        <v>23</v>
      </c>
      <c r="H319" s="12" t="str">
        <f t="shared" si="4"/>
        <v>11</v>
      </c>
      <c r="I319" s="14" t="str">
        <f t="shared" si="2"/>
        <v>01/06</v>
      </c>
      <c r="J319" s="15" t="str">
        <f t="shared" si="3"/>
        <v>Nuit</v>
      </c>
      <c r="K319" s="24"/>
    </row>
    <row r="320" ht="14.25" customHeight="1">
      <c r="A320" s="17">
        <v>46175.0</v>
      </c>
      <c r="B320" s="18" t="s">
        <v>66</v>
      </c>
      <c r="C320" s="18" t="s">
        <v>27</v>
      </c>
      <c r="D320" s="19">
        <v>0.00763888888888889</v>
      </c>
      <c r="E320" s="19">
        <v>0.0972222222222222</v>
      </c>
      <c r="F320" s="12" t="str">
        <f t="shared" si="1"/>
        <v>129</v>
      </c>
      <c r="G320" s="18" t="s">
        <v>75</v>
      </c>
      <c r="H320" s="12" t="str">
        <f t="shared" si="4"/>
        <v/>
      </c>
      <c r="I320" s="14" t="str">
        <f t="shared" si="2"/>
        <v>01/06</v>
      </c>
      <c r="J320" s="15" t="str">
        <f t="shared" si="3"/>
        <v>Nuit</v>
      </c>
    </row>
    <row r="321" ht="14.25" customHeight="1">
      <c r="A321" s="17">
        <v>46175.0</v>
      </c>
      <c r="B321" s="18" t="s">
        <v>66</v>
      </c>
      <c r="C321" s="18" t="s">
        <v>27</v>
      </c>
      <c r="D321" s="19">
        <v>0.115972222222222</v>
      </c>
      <c r="E321" s="19">
        <v>0.199305555555556</v>
      </c>
      <c r="F321" s="12" t="str">
        <f t="shared" si="1"/>
        <v>120</v>
      </c>
      <c r="G321" s="18" t="s">
        <v>38</v>
      </c>
      <c r="H321" s="12" t="str">
        <f t="shared" si="4"/>
        <v/>
      </c>
      <c r="I321" s="14" t="str">
        <f t="shared" si="2"/>
        <v>01/06</v>
      </c>
      <c r="J321" s="15" t="str">
        <f t="shared" si="3"/>
        <v>Nuit</v>
      </c>
    </row>
    <row r="322" ht="14.25" customHeight="1">
      <c r="A322" s="17">
        <v>46175.0</v>
      </c>
      <c r="B322" s="18" t="s">
        <v>66</v>
      </c>
      <c r="C322" s="18" t="s">
        <v>27</v>
      </c>
      <c r="D322" s="19">
        <v>0.222222222222222</v>
      </c>
      <c r="E322" s="19">
        <v>0.25</v>
      </c>
      <c r="F322" s="12" t="str">
        <f t="shared" si="1"/>
        <v>40</v>
      </c>
      <c r="G322" s="18" t="s">
        <v>38</v>
      </c>
      <c r="H322" s="12" t="str">
        <f t="shared" si="4"/>
        <v/>
      </c>
      <c r="I322" s="14" t="str">
        <f t="shared" si="2"/>
        <v>01/06</v>
      </c>
      <c r="J322" s="15" t="str">
        <f t="shared" si="3"/>
        <v>Nuit</v>
      </c>
    </row>
    <row r="323" ht="14.25" customHeight="1">
      <c r="A323" s="17">
        <v>46175.0</v>
      </c>
      <c r="B323" s="18" t="s">
        <v>67</v>
      </c>
      <c r="C323" s="18" t="s">
        <v>27</v>
      </c>
      <c r="D323" s="19">
        <v>0.252777777777778</v>
      </c>
      <c r="E323" s="19">
        <v>0.291666666666667</v>
      </c>
      <c r="F323" s="12" t="str">
        <f t="shared" si="1"/>
        <v>56</v>
      </c>
      <c r="G323" s="18" t="s">
        <v>38</v>
      </c>
      <c r="H323" s="12" t="str">
        <f t="shared" si="4"/>
        <v>4</v>
      </c>
      <c r="I323" s="14" t="str">
        <f t="shared" si="2"/>
        <v>02/06</v>
      </c>
      <c r="J323" s="15" t="str">
        <f t="shared" si="3"/>
        <v>Matin</v>
      </c>
    </row>
    <row r="324" ht="14.25" customHeight="1">
      <c r="A324" s="17">
        <v>46175.0</v>
      </c>
      <c r="B324" s="18" t="s">
        <v>67</v>
      </c>
      <c r="C324" s="18" t="s">
        <v>27</v>
      </c>
      <c r="D324" s="19">
        <v>0.296527777777778</v>
      </c>
      <c r="E324" s="19">
        <v>0.360416666666667</v>
      </c>
      <c r="F324" s="12" t="str">
        <f t="shared" si="1"/>
        <v>92</v>
      </c>
      <c r="G324" s="18" t="s">
        <v>65</v>
      </c>
      <c r="H324" s="12" t="str">
        <f t="shared" si="4"/>
        <v/>
      </c>
      <c r="I324" s="14" t="str">
        <f t="shared" si="2"/>
        <v>02/06</v>
      </c>
      <c r="J324" s="15" t="str">
        <f t="shared" si="3"/>
        <v>Matin</v>
      </c>
    </row>
    <row r="325" ht="14.25" customHeight="1">
      <c r="A325" s="17">
        <v>46175.0</v>
      </c>
      <c r="B325" s="18" t="s">
        <v>67</v>
      </c>
      <c r="C325" s="18" t="s">
        <v>27</v>
      </c>
      <c r="D325" s="19">
        <v>0.366666666666667</v>
      </c>
      <c r="E325" s="19">
        <v>0.461805555555556</v>
      </c>
      <c r="F325" s="12" t="str">
        <f t="shared" si="1"/>
        <v>137</v>
      </c>
      <c r="G325" s="18" t="s">
        <v>26</v>
      </c>
      <c r="H325" s="12" t="str">
        <f t="shared" si="4"/>
        <v/>
      </c>
      <c r="I325" s="14" t="str">
        <f t="shared" si="2"/>
        <v>02/06</v>
      </c>
      <c r="J325" s="15" t="str">
        <f t="shared" si="3"/>
        <v>Matin</v>
      </c>
    </row>
    <row r="326" ht="14.25" customHeight="1">
      <c r="A326" s="17">
        <v>46175.0</v>
      </c>
      <c r="B326" s="18" t="s">
        <v>67</v>
      </c>
      <c r="C326" s="18" t="s">
        <v>27</v>
      </c>
      <c r="D326" s="19">
        <v>0.465277777777778</v>
      </c>
      <c r="E326" s="19">
        <v>0.583333333333333</v>
      </c>
      <c r="F326" s="12" t="str">
        <f t="shared" si="1"/>
        <v>170</v>
      </c>
      <c r="G326" s="18" t="s">
        <v>23</v>
      </c>
      <c r="H326" s="12" t="str">
        <f t="shared" si="4"/>
        <v/>
      </c>
      <c r="I326" s="14" t="str">
        <f t="shared" si="2"/>
        <v>02/06</v>
      </c>
      <c r="J326" s="15" t="str">
        <f t="shared" si="3"/>
        <v>Matin</v>
      </c>
    </row>
    <row r="327" ht="14.25" customHeight="1">
      <c r="A327" s="17">
        <v>46175.0</v>
      </c>
      <c r="B327" s="18" t="s">
        <v>54</v>
      </c>
      <c r="C327" s="18" t="s">
        <v>27</v>
      </c>
      <c r="D327" s="19">
        <v>0.583333333333333</v>
      </c>
      <c r="E327" s="19">
        <v>0.695833333333333</v>
      </c>
      <c r="F327" s="12" t="str">
        <f t="shared" si="1"/>
        <v>162</v>
      </c>
      <c r="G327" s="18" t="s">
        <v>23</v>
      </c>
      <c r="H327" s="12" t="str">
        <f t="shared" si="4"/>
        <v>0</v>
      </c>
      <c r="I327" s="14" t="str">
        <f t="shared" si="2"/>
        <v>02/06</v>
      </c>
      <c r="J327" s="15" t="str">
        <f t="shared" si="3"/>
        <v>Après-midi</v>
      </c>
    </row>
    <row r="328" ht="14.25" customHeight="1">
      <c r="A328" s="17">
        <v>46175.0</v>
      </c>
      <c r="B328" s="18" t="s">
        <v>54</v>
      </c>
      <c r="C328" s="18" t="s">
        <v>27</v>
      </c>
      <c r="D328" s="19">
        <v>0.703472222222222</v>
      </c>
      <c r="E328" s="19">
        <v>0.8125</v>
      </c>
      <c r="F328" s="12" t="str">
        <f t="shared" si="1"/>
        <v>157</v>
      </c>
      <c r="G328" s="18" t="s">
        <v>23</v>
      </c>
      <c r="H328" s="12" t="str">
        <f t="shared" si="4"/>
        <v/>
      </c>
      <c r="I328" s="14" t="str">
        <f t="shared" si="2"/>
        <v>02/06</v>
      </c>
      <c r="J328" s="15" t="str">
        <f t="shared" si="3"/>
        <v>Après-midi</v>
      </c>
    </row>
    <row r="329" ht="14.25" customHeight="1">
      <c r="A329" s="17">
        <v>46175.0</v>
      </c>
      <c r="B329" s="18" t="s">
        <v>54</v>
      </c>
      <c r="C329" s="18" t="s">
        <v>27</v>
      </c>
      <c r="D329" s="19">
        <v>0.819444444444444</v>
      </c>
      <c r="E329" s="19">
        <v>0.916666666666667</v>
      </c>
      <c r="F329" s="12" t="str">
        <f t="shared" si="1"/>
        <v>140</v>
      </c>
      <c r="G329" s="18" t="s">
        <v>23</v>
      </c>
      <c r="H329" s="12" t="str">
        <f t="shared" si="4"/>
        <v/>
      </c>
      <c r="I329" s="14" t="str">
        <f t="shared" si="2"/>
        <v>02/06</v>
      </c>
      <c r="J329" s="15" t="str">
        <f t="shared" si="3"/>
        <v>Après-midi</v>
      </c>
    </row>
    <row r="330" ht="14.25" customHeight="1">
      <c r="A330" s="20">
        <v>46175.0</v>
      </c>
      <c r="B330" s="21" t="s">
        <v>66</v>
      </c>
      <c r="C330" s="21" t="s">
        <v>27</v>
      </c>
      <c r="D330" s="22">
        <v>0.923611111111111</v>
      </c>
      <c r="E330" s="22">
        <v>0.0208333333333333</v>
      </c>
      <c r="F330" s="23" t="str">
        <f t="shared" si="1"/>
        <v>140</v>
      </c>
      <c r="G330" s="21" t="s">
        <v>23</v>
      </c>
      <c r="H330" s="12" t="str">
        <f t="shared" si="4"/>
        <v>10</v>
      </c>
      <c r="I330" s="14" t="str">
        <f t="shared" si="2"/>
        <v>02/06</v>
      </c>
      <c r="J330" s="15" t="str">
        <f t="shared" si="3"/>
        <v>Nuit</v>
      </c>
      <c r="K330" s="24"/>
    </row>
    <row r="331" ht="14.25" customHeight="1">
      <c r="A331" s="17">
        <v>46176.0</v>
      </c>
      <c r="B331" s="18" t="s">
        <v>66</v>
      </c>
      <c r="C331" s="18" t="s">
        <v>27</v>
      </c>
      <c r="D331" s="19">
        <v>0.0298611111111111</v>
      </c>
      <c r="E331" s="19">
        <v>0.0597222222222222</v>
      </c>
      <c r="F331" s="12" t="str">
        <f t="shared" si="1"/>
        <v>43</v>
      </c>
      <c r="G331" s="18" t="s">
        <v>23</v>
      </c>
      <c r="H331" s="12" t="str">
        <f t="shared" si="4"/>
        <v/>
      </c>
      <c r="I331" s="14" t="str">
        <f t="shared" si="2"/>
        <v>02/06</v>
      </c>
      <c r="J331" s="15" t="str">
        <f t="shared" si="3"/>
        <v>Nuit</v>
      </c>
    </row>
    <row r="332" ht="14.25" customHeight="1">
      <c r="A332" s="17">
        <v>46176.0</v>
      </c>
      <c r="B332" s="18" t="s">
        <v>66</v>
      </c>
      <c r="C332" s="18" t="s">
        <v>27</v>
      </c>
      <c r="D332" s="19">
        <v>0.0652777777777778</v>
      </c>
      <c r="E332" s="19">
        <v>0.138194444444445</v>
      </c>
      <c r="F332" s="12" t="str">
        <f t="shared" si="1"/>
        <v>105</v>
      </c>
      <c r="G332" s="18" t="s">
        <v>65</v>
      </c>
      <c r="H332" s="12" t="str">
        <f t="shared" si="4"/>
        <v/>
      </c>
      <c r="I332" s="14" t="str">
        <f t="shared" si="2"/>
        <v>02/06</v>
      </c>
      <c r="J332" s="15" t="str">
        <f t="shared" si="3"/>
        <v>Nuit</v>
      </c>
    </row>
    <row r="333" ht="14.25" customHeight="1">
      <c r="A333" s="17">
        <v>46176.0</v>
      </c>
      <c r="B333" s="18" t="s">
        <v>66</v>
      </c>
      <c r="C333" s="18" t="s">
        <v>27</v>
      </c>
      <c r="D333" s="19">
        <v>0.144444444444444</v>
      </c>
      <c r="E333" s="19">
        <v>0.180555555555556</v>
      </c>
      <c r="F333" s="12" t="str">
        <f t="shared" si="1"/>
        <v>52</v>
      </c>
      <c r="G333" s="18" t="s">
        <v>65</v>
      </c>
      <c r="H333" s="12" t="str">
        <f t="shared" si="4"/>
        <v/>
      </c>
      <c r="I333" s="14" t="str">
        <f t="shared" si="2"/>
        <v>02/06</v>
      </c>
      <c r="J333" s="15" t="str">
        <f t="shared" si="3"/>
        <v>Nuit</v>
      </c>
    </row>
    <row r="334" ht="14.25" customHeight="1">
      <c r="A334" s="17">
        <v>46176.0</v>
      </c>
      <c r="B334" s="18" t="s">
        <v>66</v>
      </c>
      <c r="C334" s="18" t="s">
        <v>27</v>
      </c>
      <c r="D334" s="19">
        <v>0.186111111111111</v>
      </c>
      <c r="E334" s="19">
        <v>0.25</v>
      </c>
      <c r="F334" s="12" t="str">
        <f t="shared" si="1"/>
        <v>92</v>
      </c>
      <c r="G334" s="18" t="s">
        <v>23</v>
      </c>
      <c r="H334" s="12" t="str">
        <f t="shared" si="4"/>
        <v/>
      </c>
      <c r="I334" s="14" t="str">
        <f t="shared" si="2"/>
        <v>02/06</v>
      </c>
      <c r="J334" s="15" t="str">
        <f t="shared" si="3"/>
        <v>Nuit</v>
      </c>
    </row>
    <row r="335" ht="14.25" customHeight="1">
      <c r="A335" s="17">
        <v>46176.0</v>
      </c>
      <c r="B335" s="18" t="s">
        <v>67</v>
      </c>
      <c r="C335" s="18" t="s">
        <v>27</v>
      </c>
      <c r="D335" s="19">
        <v>0.334722222222222</v>
      </c>
      <c r="E335" s="19">
        <v>0.4625</v>
      </c>
      <c r="F335" s="12" t="str">
        <f t="shared" si="1"/>
        <v>184</v>
      </c>
      <c r="G335" s="18" t="s">
        <v>23</v>
      </c>
      <c r="H335" s="12" t="str">
        <f t="shared" si="4"/>
        <v>122</v>
      </c>
      <c r="I335" s="14" t="str">
        <f t="shared" si="2"/>
        <v>03/06</v>
      </c>
      <c r="J335" s="15" t="str">
        <f t="shared" si="3"/>
        <v>Matin</v>
      </c>
    </row>
    <row r="336" ht="14.25" customHeight="1">
      <c r="A336" s="17">
        <v>46176.0</v>
      </c>
      <c r="B336" s="18" t="s">
        <v>67</v>
      </c>
      <c r="C336" s="18" t="s">
        <v>27</v>
      </c>
      <c r="D336" s="19">
        <v>0.466666666666667</v>
      </c>
      <c r="E336" s="19">
        <v>0.577083333333333</v>
      </c>
      <c r="F336" s="12" t="str">
        <f t="shared" si="1"/>
        <v>159</v>
      </c>
      <c r="G336" s="18" t="s">
        <v>23</v>
      </c>
      <c r="H336" s="12" t="str">
        <f t="shared" si="4"/>
        <v/>
      </c>
      <c r="I336" s="14" t="str">
        <f t="shared" si="2"/>
        <v>03/06</v>
      </c>
      <c r="J336" s="15" t="str">
        <f t="shared" si="3"/>
        <v>Matin</v>
      </c>
    </row>
    <row r="337" ht="14.25" customHeight="1">
      <c r="A337" s="17">
        <v>46176.0</v>
      </c>
      <c r="B337" s="18" t="s">
        <v>67</v>
      </c>
      <c r="C337" s="18" t="s">
        <v>27</v>
      </c>
      <c r="D337" s="19">
        <v>0.577083333333333</v>
      </c>
      <c r="E337" s="19">
        <v>0.583333333333333</v>
      </c>
      <c r="F337" s="12" t="str">
        <f t="shared" si="1"/>
        <v>9</v>
      </c>
      <c r="G337" s="18" t="s">
        <v>23</v>
      </c>
      <c r="H337" s="12" t="str">
        <f t="shared" si="4"/>
        <v/>
      </c>
      <c r="I337" s="14" t="str">
        <f t="shared" si="2"/>
        <v>03/06</v>
      </c>
      <c r="J337" s="15" t="str">
        <f t="shared" si="3"/>
        <v>Matin</v>
      </c>
    </row>
    <row r="338" ht="14.25" customHeight="1">
      <c r="A338" s="17">
        <v>46176.0</v>
      </c>
      <c r="B338" s="18" t="s">
        <v>54</v>
      </c>
      <c r="C338" s="18" t="s">
        <v>27</v>
      </c>
      <c r="D338" s="19">
        <v>0.583333333333333</v>
      </c>
      <c r="E338" s="19">
        <v>0.668055555555556</v>
      </c>
      <c r="F338" s="12" t="str">
        <f t="shared" si="1"/>
        <v>122</v>
      </c>
      <c r="G338" s="18" t="s">
        <v>23</v>
      </c>
      <c r="H338" s="12" t="str">
        <f t="shared" si="4"/>
        <v>0</v>
      </c>
      <c r="I338" s="14" t="str">
        <f t="shared" si="2"/>
        <v>03/06</v>
      </c>
      <c r="J338" s="15" t="str">
        <f t="shared" si="3"/>
        <v>Après-midi</v>
      </c>
    </row>
    <row r="339" ht="14.25" customHeight="1">
      <c r="A339" s="17">
        <v>46176.0</v>
      </c>
      <c r="B339" s="18" t="s">
        <v>54</v>
      </c>
      <c r="C339" s="18" t="s">
        <v>27</v>
      </c>
      <c r="D339" s="19">
        <v>0.673611111111111</v>
      </c>
      <c r="E339" s="19">
        <v>0.729861111111111</v>
      </c>
      <c r="F339" s="12" t="str">
        <f t="shared" si="1"/>
        <v>81</v>
      </c>
      <c r="G339" s="18" t="s">
        <v>35</v>
      </c>
      <c r="H339" s="12" t="str">
        <f t="shared" si="4"/>
        <v/>
      </c>
      <c r="I339" s="14" t="str">
        <f t="shared" si="2"/>
        <v>03/06</v>
      </c>
      <c r="J339" s="15" t="str">
        <f t="shared" si="3"/>
        <v>Après-midi</v>
      </c>
    </row>
    <row r="340" ht="14.25" customHeight="1">
      <c r="A340" s="17">
        <v>46176.0</v>
      </c>
      <c r="B340" s="18" t="s">
        <v>54</v>
      </c>
      <c r="C340" s="18" t="s">
        <v>27</v>
      </c>
      <c r="D340" s="19">
        <v>0.734027777777778</v>
      </c>
      <c r="E340" s="19">
        <v>0.856944444444444</v>
      </c>
      <c r="F340" s="12" t="str">
        <f t="shared" si="1"/>
        <v>177</v>
      </c>
      <c r="G340" s="18" t="s">
        <v>23</v>
      </c>
      <c r="H340" s="12" t="str">
        <f t="shared" si="4"/>
        <v/>
      </c>
      <c r="I340" s="14" t="str">
        <f t="shared" si="2"/>
        <v>03/06</v>
      </c>
      <c r="J340" s="15" t="str">
        <f t="shared" si="3"/>
        <v>Après-midi</v>
      </c>
    </row>
    <row r="341" ht="14.25" customHeight="1">
      <c r="A341" s="17">
        <v>46176.0</v>
      </c>
      <c r="B341" s="18" t="s">
        <v>54</v>
      </c>
      <c r="C341" s="18" t="s">
        <v>27</v>
      </c>
      <c r="D341" s="19">
        <v>0.860416666666667</v>
      </c>
      <c r="E341" s="19">
        <v>0.916666666666667</v>
      </c>
      <c r="F341" s="12" t="str">
        <f t="shared" si="1"/>
        <v>81</v>
      </c>
      <c r="G341" s="18" t="s">
        <v>23</v>
      </c>
      <c r="H341" s="12" t="str">
        <f t="shared" si="4"/>
        <v/>
      </c>
      <c r="I341" s="14" t="str">
        <f t="shared" si="2"/>
        <v>03/06</v>
      </c>
      <c r="J341" s="15" t="str">
        <f t="shared" si="3"/>
        <v>Après-midi</v>
      </c>
    </row>
    <row r="342" ht="14.25" customHeight="1">
      <c r="A342" s="20">
        <v>46176.0</v>
      </c>
      <c r="B342" s="21" t="s">
        <v>66</v>
      </c>
      <c r="C342" s="21" t="s">
        <v>27</v>
      </c>
      <c r="D342" s="22">
        <v>0.921527777777778</v>
      </c>
      <c r="E342" s="22">
        <v>0.00694444444444444</v>
      </c>
      <c r="F342" s="23" t="str">
        <f t="shared" si="1"/>
        <v>123</v>
      </c>
      <c r="G342" s="21" t="s">
        <v>23</v>
      </c>
      <c r="H342" s="12" t="str">
        <f t="shared" si="4"/>
        <v>7</v>
      </c>
      <c r="I342" s="14" t="str">
        <f t="shared" si="2"/>
        <v>03/06</v>
      </c>
      <c r="J342" s="15" t="str">
        <f t="shared" si="3"/>
        <v>Nuit</v>
      </c>
      <c r="K342" s="24"/>
    </row>
    <row r="343" ht="14.25" customHeight="1">
      <c r="A343" s="17">
        <v>46177.0</v>
      </c>
      <c r="B343" s="18" t="s">
        <v>66</v>
      </c>
      <c r="C343" s="18" t="s">
        <v>27</v>
      </c>
      <c r="D343" s="19">
        <v>0.0159722222222222</v>
      </c>
      <c r="E343" s="19">
        <v>0.0333333333333333</v>
      </c>
      <c r="F343" s="12" t="str">
        <f t="shared" si="1"/>
        <v>25</v>
      </c>
      <c r="G343" s="18" t="s">
        <v>65</v>
      </c>
      <c r="H343" s="12" t="str">
        <f t="shared" si="4"/>
        <v/>
      </c>
      <c r="I343" s="14" t="str">
        <f t="shared" si="2"/>
        <v>03/06</v>
      </c>
      <c r="J343" s="15" t="str">
        <f t="shared" si="3"/>
        <v>Nuit</v>
      </c>
    </row>
    <row r="344" ht="14.25" customHeight="1">
      <c r="A344" s="17">
        <v>46177.0</v>
      </c>
      <c r="B344" s="18" t="s">
        <v>66</v>
      </c>
      <c r="C344" s="18" t="s">
        <v>27</v>
      </c>
      <c r="D344" s="19">
        <v>0.0409722222222222</v>
      </c>
      <c r="E344" s="19">
        <v>0.145833333333333</v>
      </c>
      <c r="F344" s="12" t="str">
        <f t="shared" si="1"/>
        <v>151</v>
      </c>
      <c r="G344" s="18" t="s">
        <v>23</v>
      </c>
      <c r="H344" s="12" t="str">
        <f t="shared" si="4"/>
        <v/>
      </c>
      <c r="I344" s="14" t="str">
        <f t="shared" si="2"/>
        <v>03/06</v>
      </c>
      <c r="J344" s="15" t="str">
        <f t="shared" si="3"/>
        <v>Nuit</v>
      </c>
    </row>
    <row r="345" ht="14.25" customHeight="1">
      <c r="A345" s="17">
        <v>46177.0</v>
      </c>
      <c r="B345" s="18" t="s">
        <v>66</v>
      </c>
      <c r="C345" s="18" t="s">
        <v>27</v>
      </c>
      <c r="D345" s="19">
        <v>0.152777777777778</v>
      </c>
      <c r="E345" s="19">
        <v>0.178472222222222</v>
      </c>
      <c r="F345" s="12" t="str">
        <f t="shared" si="1"/>
        <v>37</v>
      </c>
      <c r="G345" s="18" t="s">
        <v>23</v>
      </c>
      <c r="H345" s="12" t="str">
        <f t="shared" si="4"/>
        <v/>
      </c>
      <c r="I345" s="14" t="str">
        <f t="shared" si="2"/>
        <v>03/06</v>
      </c>
      <c r="J345" s="15" t="str">
        <f t="shared" si="3"/>
        <v>Nuit</v>
      </c>
    </row>
    <row r="346" ht="14.25" customHeight="1">
      <c r="A346" s="17">
        <v>46177.0</v>
      </c>
      <c r="B346" s="18" t="s">
        <v>66</v>
      </c>
      <c r="C346" s="18" t="s">
        <v>27</v>
      </c>
      <c r="D346" s="19">
        <v>0.184027777777778</v>
      </c>
      <c r="E346" s="19">
        <v>0.25</v>
      </c>
      <c r="F346" s="12" t="str">
        <f t="shared" si="1"/>
        <v>95</v>
      </c>
      <c r="G346" s="18" t="s">
        <v>23</v>
      </c>
      <c r="H346" s="12" t="str">
        <f t="shared" si="4"/>
        <v/>
      </c>
      <c r="I346" s="14" t="str">
        <f t="shared" si="2"/>
        <v>03/06</v>
      </c>
      <c r="J346" s="15" t="str">
        <f t="shared" si="3"/>
        <v>Nuit</v>
      </c>
    </row>
    <row r="347" ht="87.0" customHeight="1">
      <c r="A347" s="17">
        <v>46177.0</v>
      </c>
      <c r="B347" s="18" t="s">
        <v>67</v>
      </c>
      <c r="C347" s="18" t="s">
        <v>27</v>
      </c>
      <c r="D347" s="19">
        <v>0.25</v>
      </c>
      <c r="E347" s="19">
        <v>0.291666666666667</v>
      </c>
      <c r="F347" s="12" t="str">
        <f t="shared" si="1"/>
        <v>60</v>
      </c>
      <c r="G347" s="18" t="s">
        <v>76</v>
      </c>
      <c r="H347" s="12" t="str">
        <f t="shared" si="4"/>
        <v>0</v>
      </c>
      <c r="I347" s="14" t="str">
        <f t="shared" si="2"/>
        <v>04/06</v>
      </c>
      <c r="J347" s="15" t="str">
        <f t="shared" si="3"/>
        <v>Matin</v>
      </c>
    </row>
    <row r="348" ht="14.25" customHeight="1">
      <c r="A348" s="17">
        <v>46177.0</v>
      </c>
      <c r="B348" s="18" t="s">
        <v>67</v>
      </c>
      <c r="C348" s="18" t="s">
        <v>27</v>
      </c>
      <c r="D348" s="19">
        <v>0.291666666666667</v>
      </c>
      <c r="E348" s="19">
        <v>0.311111111111111</v>
      </c>
      <c r="F348" s="12" t="str">
        <f t="shared" si="1"/>
        <v>28</v>
      </c>
      <c r="G348" s="18" t="s">
        <v>26</v>
      </c>
      <c r="H348" s="12" t="str">
        <f t="shared" si="4"/>
        <v/>
      </c>
      <c r="I348" s="14" t="str">
        <f t="shared" si="2"/>
        <v>04/06</v>
      </c>
      <c r="J348" s="15" t="str">
        <f t="shared" si="3"/>
        <v>Matin</v>
      </c>
    </row>
    <row r="349" ht="14.25" customHeight="1">
      <c r="A349" s="17">
        <v>46177.0</v>
      </c>
      <c r="B349" s="18" t="s">
        <v>67</v>
      </c>
      <c r="C349" s="18" t="s">
        <v>27</v>
      </c>
      <c r="D349" s="19">
        <v>0.316666666666667</v>
      </c>
      <c r="E349" s="19">
        <v>0.461805555555556</v>
      </c>
      <c r="F349" s="12" t="str">
        <f t="shared" si="1"/>
        <v>209</v>
      </c>
      <c r="G349" s="18" t="s">
        <v>23</v>
      </c>
      <c r="H349" s="12" t="str">
        <f t="shared" si="4"/>
        <v/>
      </c>
      <c r="I349" s="14" t="str">
        <f t="shared" si="2"/>
        <v>04/06</v>
      </c>
      <c r="J349" s="15" t="str">
        <f t="shared" si="3"/>
        <v>Matin</v>
      </c>
    </row>
    <row r="350" ht="14.25" customHeight="1">
      <c r="A350" s="17">
        <v>46177.0</v>
      </c>
      <c r="B350" s="18" t="s">
        <v>67</v>
      </c>
      <c r="C350" s="18" t="s">
        <v>27</v>
      </c>
      <c r="D350" s="19">
        <v>0.466666666666667</v>
      </c>
      <c r="E350" s="19">
        <v>0.583333333333333</v>
      </c>
      <c r="F350" s="12" t="str">
        <f t="shared" si="1"/>
        <v>168</v>
      </c>
      <c r="G350" s="18" t="s">
        <v>23</v>
      </c>
      <c r="H350" s="12" t="str">
        <f t="shared" si="4"/>
        <v/>
      </c>
      <c r="I350" s="14" t="str">
        <f t="shared" si="2"/>
        <v>04/06</v>
      </c>
      <c r="J350" s="15" t="str">
        <f t="shared" si="3"/>
        <v>Matin</v>
      </c>
    </row>
    <row r="351" ht="14.25" customHeight="1">
      <c r="A351" s="17">
        <v>46177.0</v>
      </c>
      <c r="B351" s="18" t="s">
        <v>54</v>
      </c>
      <c r="C351" s="18" t="s">
        <v>27</v>
      </c>
      <c r="D351" s="19">
        <v>0.583333333333333</v>
      </c>
      <c r="E351" s="19">
        <v>0.642361111111111</v>
      </c>
      <c r="F351" s="12" t="str">
        <f t="shared" si="1"/>
        <v>85</v>
      </c>
      <c r="G351" s="18" t="s">
        <v>65</v>
      </c>
      <c r="H351" s="12" t="str">
        <f t="shared" si="4"/>
        <v>0</v>
      </c>
      <c r="I351" s="14" t="str">
        <f t="shared" si="2"/>
        <v>04/06</v>
      </c>
      <c r="J351" s="15" t="str">
        <f t="shared" si="3"/>
        <v>Après-midi</v>
      </c>
    </row>
    <row r="352" ht="14.25" customHeight="1">
      <c r="A352" s="17">
        <v>46177.0</v>
      </c>
      <c r="B352" s="18" t="s">
        <v>54</v>
      </c>
      <c r="C352" s="18" t="s">
        <v>27</v>
      </c>
      <c r="D352" s="19">
        <v>0.652777777777778</v>
      </c>
      <c r="E352" s="19">
        <v>0.710416666666667</v>
      </c>
      <c r="F352" s="12" t="str">
        <f t="shared" si="1"/>
        <v>83</v>
      </c>
      <c r="G352" s="18" t="s">
        <v>26</v>
      </c>
      <c r="H352" s="12" t="str">
        <f t="shared" si="4"/>
        <v/>
      </c>
      <c r="I352" s="14" t="str">
        <f t="shared" si="2"/>
        <v>04/06</v>
      </c>
      <c r="J352" s="15" t="str">
        <f t="shared" si="3"/>
        <v>Après-midi</v>
      </c>
    </row>
    <row r="353" ht="14.25" customHeight="1">
      <c r="A353" s="17">
        <v>46177.0</v>
      </c>
      <c r="B353" s="18" t="s">
        <v>54</v>
      </c>
      <c r="C353" s="18" t="s">
        <v>27</v>
      </c>
      <c r="D353" s="19">
        <v>0.715277777777778</v>
      </c>
      <c r="E353" s="19">
        <v>0.854166666666667</v>
      </c>
      <c r="F353" s="12" t="str">
        <f t="shared" si="1"/>
        <v>200</v>
      </c>
      <c r="G353" s="18" t="s">
        <v>23</v>
      </c>
      <c r="H353" s="12" t="str">
        <f t="shared" si="4"/>
        <v/>
      </c>
      <c r="I353" s="14" t="str">
        <f t="shared" si="2"/>
        <v>04/06</v>
      </c>
      <c r="J353" s="15" t="str">
        <f t="shared" si="3"/>
        <v>Après-midi</v>
      </c>
    </row>
    <row r="354" ht="14.25" customHeight="1">
      <c r="A354" s="17">
        <v>46177.0</v>
      </c>
      <c r="B354" s="18" t="s">
        <v>54</v>
      </c>
      <c r="C354" s="18" t="s">
        <v>27</v>
      </c>
      <c r="D354" s="19">
        <v>0.868055555555556</v>
      </c>
      <c r="E354" s="19">
        <v>0.916666666666667</v>
      </c>
      <c r="F354" s="12" t="str">
        <f t="shared" si="1"/>
        <v>70</v>
      </c>
      <c r="G354" s="18" t="s">
        <v>23</v>
      </c>
      <c r="H354" s="12" t="str">
        <f t="shared" si="4"/>
        <v/>
      </c>
      <c r="I354" s="14" t="str">
        <f t="shared" si="2"/>
        <v>04/06</v>
      </c>
      <c r="J354" s="15" t="str">
        <f t="shared" si="3"/>
        <v>Après-midi</v>
      </c>
    </row>
    <row r="355" ht="14.25" customHeight="1">
      <c r="A355" s="17">
        <v>46177.0</v>
      </c>
      <c r="B355" s="18" t="s">
        <v>66</v>
      </c>
      <c r="C355" s="18" t="s">
        <v>27</v>
      </c>
      <c r="D355" s="19">
        <v>0.916666666666667</v>
      </c>
      <c r="E355" s="19">
        <v>0.965277777777778</v>
      </c>
      <c r="F355" s="12" t="str">
        <f t="shared" si="1"/>
        <v>70</v>
      </c>
      <c r="G355" s="18" t="s">
        <v>65</v>
      </c>
      <c r="H355" s="12" t="str">
        <f t="shared" si="4"/>
        <v>0</v>
      </c>
      <c r="I355" s="14" t="str">
        <f t="shared" si="2"/>
        <v>04/06</v>
      </c>
      <c r="J355" s="15" t="str">
        <f t="shared" si="3"/>
        <v>Nuit</v>
      </c>
    </row>
    <row r="356" ht="14.25" customHeight="1">
      <c r="A356" s="17">
        <v>46177.0</v>
      </c>
      <c r="B356" s="18" t="s">
        <v>66</v>
      </c>
      <c r="C356" s="18" t="s">
        <v>27</v>
      </c>
      <c r="D356" s="19">
        <v>0.96875</v>
      </c>
      <c r="E356" s="19">
        <v>0.986805555555556</v>
      </c>
      <c r="F356" s="12" t="str">
        <f t="shared" si="1"/>
        <v>26</v>
      </c>
      <c r="G356" s="18" t="s">
        <v>65</v>
      </c>
      <c r="H356" s="12" t="str">
        <f t="shared" si="4"/>
        <v/>
      </c>
      <c r="I356" s="14" t="str">
        <f t="shared" si="2"/>
        <v>04/06</v>
      </c>
      <c r="J356" s="15" t="str">
        <f t="shared" si="3"/>
        <v>Nuit</v>
      </c>
    </row>
    <row r="357" ht="14.25" customHeight="1">
      <c r="A357" s="20">
        <v>46177.0</v>
      </c>
      <c r="B357" s="21" t="s">
        <v>66</v>
      </c>
      <c r="C357" s="21" t="s">
        <v>27</v>
      </c>
      <c r="D357" s="22">
        <v>0.991666666666667</v>
      </c>
      <c r="E357" s="22">
        <v>0.0805555555555556</v>
      </c>
      <c r="F357" s="23" t="str">
        <f t="shared" si="1"/>
        <v>128</v>
      </c>
      <c r="G357" s="21" t="s">
        <v>23</v>
      </c>
      <c r="H357" s="12" t="str">
        <f t="shared" si="4"/>
        <v/>
      </c>
      <c r="I357" s="14" t="str">
        <f t="shared" si="2"/>
        <v>04/06</v>
      </c>
      <c r="J357" s="15" t="str">
        <f t="shared" si="3"/>
        <v>Nuit</v>
      </c>
      <c r="K357" s="24"/>
    </row>
    <row r="358" ht="14.25" customHeight="1">
      <c r="A358" s="17">
        <v>46178.0</v>
      </c>
      <c r="B358" s="18" t="s">
        <v>66</v>
      </c>
      <c r="C358" s="18" t="s">
        <v>27</v>
      </c>
      <c r="D358" s="19">
        <v>0.0958333333333333</v>
      </c>
      <c r="E358" s="19">
        <v>0.19375</v>
      </c>
      <c r="F358" s="12" t="str">
        <f t="shared" si="1"/>
        <v>141</v>
      </c>
      <c r="G358" s="18" t="s">
        <v>23</v>
      </c>
      <c r="H358" s="12" t="str">
        <f t="shared" si="4"/>
        <v/>
      </c>
      <c r="I358" s="14" t="str">
        <f t="shared" si="2"/>
        <v>04/06</v>
      </c>
      <c r="J358" s="15" t="str">
        <f t="shared" si="3"/>
        <v>Nuit</v>
      </c>
    </row>
    <row r="359" ht="14.25" customHeight="1">
      <c r="A359" s="17">
        <v>46178.0</v>
      </c>
      <c r="B359" s="18" t="s">
        <v>66</v>
      </c>
      <c r="C359" s="18" t="s">
        <v>27</v>
      </c>
      <c r="D359" s="19">
        <v>0.201388888888889</v>
      </c>
      <c r="E359" s="19">
        <v>0.25</v>
      </c>
      <c r="F359" s="12" t="str">
        <f t="shared" si="1"/>
        <v>70</v>
      </c>
      <c r="G359" s="18" t="s">
        <v>23</v>
      </c>
      <c r="H359" s="12" t="str">
        <f t="shared" si="4"/>
        <v/>
      </c>
      <c r="I359" s="14" t="str">
        <f t="shared" si="2"/>
        <v>04/06</v>
      </c>
      <c r="J359" s="15" t="str">
        <f t="shared" si="3"/>
        <v>Nuit</v>
      </c>
    </row>
    <row r="360" ht="14.25" customHeight="1">
      <c r="A360" s="17">
        <v>46179.0</v>
      </c>
      <c r="B360" s="18" t="s">
        <v>54</v>
      </c>
      <c r="C360" s="18" t="s">
        <v>27</v>
      </c>
      <c r="D360" s="19">
        <v>0.583333333333333</v>
      </c>
      <c r="E360" s="19">
        <v>0.670833333333333</v>
      </c>
      <c r="F360" s="12" t="str">
        <f t="shared" si="1"/>
        <v>126</v>
      </c>
      <c r="G360" s="18" t="s">
        <v>23</v>
      </c>
      <c r="H360" s="12" t="str">
        <f t="shared" si="4"/>
        <v>480</v>
      </c>
      <c r="I360" s="14" t="str">
        <f t="shared" si="2"/>
        <v>06/06</v>
      </c>
      <c r="J360" s="15" t="str">
        <f t="shared" si="3"/>
        <v>Après-midi</v>
      </c>
    </row>
    <row r="361" ht="14.25" customHeight="1">
      <c r="A361" s="17">
        <v>46179.0</v>
      </c>
      <c r="B361" s="18" t="s">
        <v>54</v>
      </c>
      <c r="C361" s="18" t="s">
        <v>27</v>
      </c>
      <c r="D361" s="19">
        <v>0.677083333333333</v>
      </c>
      <c r="E361" s="19">
        <v>0.754166666666667</v>
      </c>
      <c r="F361" s="12" t="str">
        <f t="shared" si="1"/>
        <v>111</v>
      </c>
      <c r="G361" s="18" t="s">
        <v>23</v>
      </c>
      <c r="H361" s="12" t="str">
        <f t="shared" si="4"/>
        <v/>
      </c>
      <c r="I361" s="14" t="str">
        <f t="shared" si="2"/>
        <v>06/06</v>
      </c>
      <c r="J361" s="15" t="str">
        <f t="shared" si="3"/>
        <v>Après-midi</v>
      </c>
    </row>
    <row r="362" ht="14.25" customHeight="1">
      <c r="A362" s="17">
        <v>46179.0</v>
      </c>
      <c r="B362" s="18" t="s">
        <v>54</v>
      </c>
      <c r="C362" s="18" t="s">
        <v>27</v>
      </c>
      <c r="D362" s="19">
        <v>0.760416666666667</v>
      </c>
      <c r="E362" s="19">
        <v>0.916666666666667</v>
      </c>
      <c r="F362" s="12" t="str">
        <f t="shared" si="1"/>
        <v>225</v>
      </c>
      <c r="G362" s="18" t="s">
        <v>23</v>
      </c>
      <c r="H362" s="12" t="str">
        <f t="shared" si="4"/>
        <v/>
      </c>
      <c r="I362" s="14" t="str">
        <f t="shared" si="2"/>
        <v>06/06</v>
      </c>
      <c r="J362" s="15" t="str">
        <f t="shared" si="3"/>
        <v>Après-midi</v>
      </c>
    </row>
    <row r="363" ht="14.25" customHeight="1">
      <c r="A363" s="20">
        <v>46179.0</v>
      </c>
      <c r="B363" s="21" t="s">
        <v>66</v>
      </c>
      <c r="C363" s="21" t="s">
        <v>27</v>
      </c>
      <c r="D363" s="22">
        <v>0.929166666666667</v>
      </c>
      <c r="E363" s="22">
        <v>0.0256944444444444</v>
      </c>
      <c r="F363" s="23" t="str">
        <f t="shared" si="1"/>
        <v>139</v>
      </c>
      <c r="G363" s="21" t="s">
        <v>23</v>
      </c>
      <c r="H363" s="12" t="str">
        <f t="shared" si="4"/>
        <v>18</v>
      </c>
      <c r="I363" s="14" t="str">
        <f t="shared" si="2"/>
        <v>06/06</v>
      </c>
      <c r="J363" s="15" t="str">
        <f t="shared" si="3"/>
        <v>Nuit</v>
      </c>
      <c r="K363" s="24"/>
    </row>
    <row r="364" ht="14.25" customHeight="1">
      <c r="A364" s="17">
        <v>46180.0</v>
      </c>
      <c r="B364" s="18" t="s">
        <v>66</v>
      </c>
      <c r="C364" s="18" t="s">
        <v>27</v>
      </c>
      <c r="D364" s="19">
        <v>0.0375</v>
      </c>
      <c r="E364" s="19">
        <v>0.0784722222222222</v>
      </c>
      <c r="F364" s="12" t="str">
        <f t="shared" si="1"/>
        <v>59</v>
      </c>
      <c r="G364" s="18" t="s">
        <v>65</v>
      </c>
      <c r="H364" s="12" t="str">
        <f t="shared" si="4"/>
        <v/>
      </c>
      <c r="I364" s="14" t="str">
        <f t="shared" si="2"/>
        <v>06/06</v>
      </c>
      <c r="J364" s="15" t="str">
        <f t="shared" si="3"/>
        <v>Nuit</v>
      </c>
    </row>
    <row r="365" ht="14.25" customHeight="1">
      <c r="A365" s="17">
        <v>46180.0</v>
      </c>
      <c r="B365" s="18" t="s">
        <v>66</v>
      </c>
      <c r="C365" s="18" t="s">
        <v>27</v>
      </c>
      <c r="D365" s="19">
        <v>0.0951388888888889</v>
      </c>
      <c r="E365" s="19">
        <v>0.190277777777778</v>
      </c>
      <c r="F365" s="12" t="str">
        <f t="shared" si="1"/>
        <v>137</v>
      </c>
      <c r="G365" s="18" t="s">
        <v>23</v>
      </c>
      <c r="H365" s="12" t="str">
        <f t="shared" si="4"/>
        <v/>
      </c>
      <c r="I365" s="14" t="str">
        <f t="shared" si="2"/>
        <v>06/06</v>
      </c>
      <c r="J365" s="15" t="str">
        <f t="shared" si="3"/>
        <v>Nuit</v>
      </c>
    </row>
    <row r="366" ht="14.25" customHeight="1">
      <c r="A366" s="17">
        <v>46180.0</v>
      </c>
      <c r="B366" s="18" t="s">
        <v>66</v>
      </c>
      <c r="C366" s="18" t="s">
        <v>27</v>
      </c>
      <c r="D366" s="19">
        <v>0.197222222222222</v>
      </c>
      <c r="E366" s="19">
        <v>0.25</v>
      </c>
      <c r="F366" s="12" t="str">
        <f t="shared" si="1"/>
        <v>76</v>
      </c>
      <c r="G366" s="18" t="s">
        <v>23</v>
      </c>
      <c r="H366" s="12" t="str">
        <f t="shared" si="4"/>
        <v/>
      </c>
      <c r="I366" s="14" t="str">
        <f t="shared" si="2"/>
        <v>06/06</v>
      </c>
      <c r="J366" s="15" t="str">
        <f t="shared" si="3"/>
        <v>Nuit</v>
      </c>
    </row>
    <row r="367" ht="14.25" customHeight="1">
      <c r="A367" s="17">
        <v>46180.0</v>
      </c>
      <c r="B367" s="18" t="s">
        <v>54</v>
      </c>
      <c r="C367" s="18" t="s">
        <v>27</v>
      </c>
      <c r="D367" s="19">
        <v>0.25</v>
      </c>
      <c r="E367" s="19">
        <v>0.277777777777778</v>
      </c>
      <c r="F367" s="12" t="str">
        <f t="shared" si="1"/>
        <v>40</v>
      </c>
      <c r="G367" s="18" t="s">
        <v>77</v>
      </c>
      <c r="H367" s="12" t="str">
        <f t="shared" si="4"/>
        <v>0</v>
      </c>
      <c r="I367" s="14" t="str">
        <f t="shared" si="2"/>
        <v>07/06</v>
      </c>
      <c r="J367" s="15" t="str">
        <f t="shared" si="3"/>
        <v>Matin</v>
      </c>
    </row>
    <row r="368" ht="14.25" customHeight="1">
      <c r="A368" s="17">
        <v>46180.0</v>
      </c>
      <c r="B368" s="18" t="s">
        <v>54</v>
      </c>
      <c r="C368" s="18" t="s">
        <v>27</v>
      </c>
      <c r="D368" s="19">
        <v>0.277777777777778</v>
      </c>
      <c r="E368" s="19">
        <v>0.371527777777778</v>
      </c>
      <c r="F368" s="12" t="str">
        <f t="shared" si="1"/>
        <v>135</v>
      </c>
      <c r="G368" s="18" t="s">
        <v>78</v>
      </c>
      <c r="H368" s="12" t="str">
        <f t="shared" si="4"/>
        <v/>
      </c>
      <c r="I368" s="14" t="str">
        <f t="shared" si="2"/>
        <v>07/06</v>
      </c>
      <c r="J368" s="15" t="str">
        <f t="shared" si="3"/>
        <v>Matin</v>
      </c>
    </row>
    <row r="369" ht="14.25" customHeight="1">
      <c r="A369" s="17">
        <v>46180.0</v>
      </c>
      <c r="B369" s="18" t="s">
        <v>54</v>
      </c>
      <c r="C369" s="18" t="s">
        <v>27</v>
      </c>
      <c r="D369" s="19">
        <v>0.381944444444444</v>
      </c>
      <c r="E369" s="19">
        <v>0.48125</v>
      </c>
      <c r="F369" s="12" t="str">
        <f t="shared" si="1"/>
        <v>143</v>
      </c>
      <c r="G369" s="18" t="s">
        <v>35</v>
      </c>
      <c r="H369" s="12" t="str">
        <f t="shared" si="4"/>
        <v/>
      </c>
      <c r="I369" s="14" t="str">
        <f t="shared" si="2"/>
        <v>07/06</v>
      </c>
      <c r="J369" s="15" t="str">
        <f t="shared" si="3"/>
        <v>Matin</v>
      </c>
    </row>
    <row r="370" ht="14.25" customHeight="1">
      <c r="A370" s="17">
        <v>46180.0</v>
      </c>
      <c r="B370" s="18" t="s">
        <v>54</v>
      </c>
      <c r="C370" s="18" t="s">
        <v>27</v>
      </c>
      <c r="D370" s="19">
        <v>0.486111111111111</v>
      </c>
      <c r="E370" s="19">
        <v>0.550694444444445</v>
      </c>
      <c r="F370" s="12" t="str">
        <f t="shared" si="1"/>
        <v>93</v>
      </c>
      <c r="G370" s="18" t="s">
        <v>35</v>
      </c>
      <c r="H370" s="12" t="str">
        <f t="shared" si="4"/>
        <v/>
      </c>
      <c r="I370" s="14" t="str">
        <f t="shared" si="2"/>
        <v>07/06</v>
      </c>
      <c r="J370" s="15" t="str">
        <f t="shared" si="3"/>
        <v>Matin</v>
      </c>
    </row>
    <row r="371" ht="14.25" customHeight="1">
      <c r="A371" s="17">
        <v>46180.0</v>
      </c>
      <c r="B371" s="18" t="s">
        <v>54</v>
      </c>
      <c r="C371" s="18" t="s">
        <v>27</v>
      </c>
      <c r="D371" s="19">
        <v>0.555555555555556</v>
      </c>
      <c r="E371" s="19">
        <v>0.583333333333333</v>
      </c>
      <c r="F371" s="12" t="str">
        <f t="shared" si="1"/>
        <v>40</v>
      </c>
      <c r="G371" s="18" t="s">
        <v>23</v>
      </c>
      <c r="H371" s="12" t="str">
        <f t="shared" si="4"/>
        <v/>
      </c>
      <c r="I371" s="14" t="str">
        <f t="shared" si="2"/>
        <v>07/06</v>
      </c>
      <c r="J371" s="15" t="str">
        <f t="shared" si="3"/>
        <v>Matin</v>
      </c>
    </row>
    <row r="372" ht="14.25" customHeight="1">
      <c r="A372" s="17">
        <v>46180.0</v>
      </c>
      <c r="B372" s="18" t="s">
        <v>67</v>
      </c>
      <c r="C372" s="18" t="s">
        <v>27</v>
      </c>
      <c r="D372" s="19">
        <v>0.583333333333333</v>
      </c>
      <c r="E372" s="19">
        <v>0.680555555555556</v>
      </c>
      <c r="F372" s="12" t="str">
        <f t="shared" si="1"/>
        <v>140</v>
      </c>
      <c r="G372" s="18" t="s">
        <v>23</v>
      </c>
      <c r="H372" s="12" t="str">
        <f t="shared" si="4"/>
        <v>0</v>
      </c>
      <c r="I372" s="14" t="str">
        <f t="shared" si="2"/>
        <v>07/06</v>
      </c>
      <c r="J372" s="15" t="str">
        <f t="shared" si="3"/>
        <v>Après-midi</v>
      </c>
    </row>
    <row r="373" ht="14.25" customHeight="1">
      <c r="A373" s="17">
        <v>46180.0</v>
      </c>
      <c r="B373" s="18" t="s">
        <v>67</v>
      </c>
      <c r="C373" s="18" t="s">
        <v>27</v>
      </c>
      <c r="D373" s="19">
        <v>0.696527777777778</v>
      </c>
      <c r="E373" s="19">
        <v>0.725</v>
      </c>
      <c r="F373" s="12" t="str">
        <f t="shared" si="1"/>
        <v>41</v>
      </c>
      <c r="G373" s="18" t="s">
        <v>26</v>
      </c>
      <c r="H373" s="12" t="str">
        <f t="shared" si="4"/>
        <v/>
      </c>
      <c r="I373" s="14" t="str">
        <f t="shared" si="2"/>
        <v>07/06</v>
      </c>
      <c r="J373" s="15" t="str">
        <f t="shared" si="3"/>
        <v>Après-midi</v>
      </c>
    </row>
    <row r="374" ht="14.25" customHeight="1">
      <c r="A374" s="17">
        <v>46180.0</v>
      </c>
      <c r="B374" s="18" t="s">
        <v>67</v>
      </c>
      <c r="C374" s="18" t="s">
        <v>27</v>
      </c>
      <c r="D374" s="19">
        <v>0.730555555555556</v>
      </c>
      <c r="E374" s="19">
        <v>0.833333333333333</v>
      </c>
      <c r="F374" s="12" t="str">
        <f t="shared" si="1"/>
        <v>148</v>
      </c>
      <c r="G374" s="18" t="s">
        <v>23</v>
      </c>
      <c r="H374" s="12" t="str">
        <f t="shared" si="4"/>
        <v/>
      </c>
      <c r="I374" s="14" t="str">
        <f t="shared" si="2"/>
        <v>07/06</v>
      </c>
      <c r="J374" s="15" t="str">
        <f t="shared" si="3"/>
        <v>Après-midi</v>
      </c>
    </row>
    <row r="375" ht="14.25" customHeight="1">
      <c r="A375" s="17">
        <v>46180.0</v>
      </c>
      <c r="B375" s="18" t="s">
        <v>67</v>
      </c>
      <c r="C375" s="18" t="s">
        <v>27</v>
      </c>
      <c r="D375" s="19">
        <v>0.841666666666667</v>
      </c>
      <c r="E375" s="19">
        <v>0.916666666666667</v>
      </c>
      <c r="F375" s="12" t="str">
        <f t="shared" si="1"/>
        <v>108</v>
      </c>
      <c r="G375" s="18" t="s">
        <v>23</v>
      </c>
      <c r="H375" s="12" t="str">
        <f t="shared" si="4"/>
        <v/>
      </c>
      <c r="I375" s="14" t="str">
        <f t="shared" si="2"/>
        <v>07/06</v>
      </c>
      <c r="J375" s="15" t="str">
        <f t="shared" si="3"/>
        <v>Après-midi</v>
      </c>
    </row>
    <row r="376" ht="14.25" customHeight="1">
      <c r="A376" s="17">
        <v>46180.0</v>
      </c>
      <c r="B376" s="18" t="s">
        <v>66</v>
      </c>
      <c r="C376" s="18" t="s">
        <v>27</v>
      </c>
      <c r="D376" s="19">
        <v>0.916666666666667</v>
      </c>
      <c r="E376" s="19">
        <v>0.968055555555556</v>
      </c>
      <c r="F376" s="12" t="str">
        <f t="shared" si="1"/>
        <v>74</v>
      </c>
      <c r="G376" s="18" t="s">
        <v>65</v>
      </c>
      <c r="H376" s="12" t="str">
        <f t="shared" si="4"/>
        <v>0</v>
      </c>
      <c r="I376" s="14" t="str">
        <f t="shared" si="2"/>
        <v>07/06</v>
      </c>
      <c r="J376" s="15" t="str">
        <f t="shared" si="3"/>
        <v>Nuit</v>
      </c>
    </row>
    <row r="377" ht="14.25" customHeight="1">
      <c r="A377" s="20">
        <v>46180.0</v>
      </c>
      <c r="B377" s="21" t="s">
        <v>66</v>
      </c>
      <c r="C377" s="21" t="s">
        <v>27</v>
      </c>
      <c r="D377" s="22">
        <v>0.972222222222222</v>
      </c>
      <c r="E377" s="22">
        <v>0.0506944444444444</v>
      </c>
      <c r="F377" s="23" t="str">
        <f t="shared" si="1"/>
        <v>113</v>
      </c>
      <c r="G377" s="21" t="s">
        <v>23</v>
      </c>
      <c r="H377" s="12" t="str">
        <f t="shared" si="4"/>
        <v/>
      </c>
      <c r="I377" s="14" t="str">
        <f t="shared" si="2"/>
        <v>07/06</v>
      </c>
      <c r="J377" s="15" t="str">
        <f t="shared" si="3"/>
        <v>Nuit</v>
      </c>
      <c r="K377" s="24"/>
    </row>
    <row r="378" ht="14.25" customHeight="1">
      <c r="A378" s="17">
        <v>46181.0</v>
      </c>
      <c r="B378" s="18" t="s">
        <v>66</v>
      </c>
      <c r="C378" s="18" t="s">
        <v>27</v>
      </c>
      <c r="D378" s="19">
        <v>0.05625</v>
      </c>
      <c r="E378" s="19">
        <v>0.166666666666667</v>
      </c>
      <c r="F378" s="12" t="str">
        <f t="shared" si="1"/>
        <v>159</v>
      </c>
      <c r="G378" s="18" t="s">
        <v>23</v>
      </c>
      <c r="H378" s="12" t="str">
        <f t="shared" si="4"/>
        <v/>
      </c>
      <c r="I378" s="14" t="str">
        <f t="shared" si="2"/>
        <v>07/06</v>
      </c>
      <c r="J378" s="15" t="str">
        <f t="shared" si="3"/>
        <v>Nuit</v>
      </c>
    </row>
    <row r="379" ht="14.25" customHeight="1">
      <c r="A379" s="17">
        <v>46181.0</v>
      </c>
      <c r="B379" s="18" t="s">
        <v>66</v>
      </c>
      <c r="C379" s="18" t="s">
        <v>27</v>
      </c>
      <c r="D379" s="19">
        <v>0.172916666666667</v>
      </c>
      <c r="E379" s="19">
        <v>0.243055555555556</v>
      </c>
      <c r="F379" s="12" t="str">
        <f t="shared" si="1"/>
        <v>101</v>
      </c>
      <c r="G379" s="18" t="s">
        <v>23</v>
      </c>
      <c r="H379" s="12" t="str">
        <f t="shared" si="4"/>
        <v/>
      </c>
      <c r="I379" s="14" t="str">
        <f t="shared" si="2"/>
        <v>07/06</v>
      </c>
      <c r="J379" s="15" t="str">
        <f t="shared" si="3"/>
        <v>Nuit</v>
      </c>
    </row>
    <row r="380" ht="14.25" customHeight="1">
      <c r="A380" s="17">
        <v>46181.0</v>
      </c>
      <c r="B380" s="18" t="s">
        <v>54</v>
      </c>
      <c r="C380" s="18" t="s">
        <v>27</v>
      </c>
      <c r="D380" s="19">
        <v>0.25</v>
      </c>
      <c r="E380" s="19">
        <v>0.335416666666667</v>
      </c>
      <c r="F380" s="12" t="str">
        <f t="shared" si="1"/>
        <v>123</v>
      </c>
      <c r="G380" s="18" t="s">
        <v>23</v>
      </c>
      <c r="H380" s="12" t="str">
        <f t="shared" si="4"/>
        <v>10</v>
      </c>
      <c r="I380" s="14" t="str">
        <f t="shared" si="2"/>
        <v>08/06</v>
      </c>
      <c r="J380" s="15" t="str">
        <f t="shared" si="3"/>
        <v>Matin</v>
      </c>
    </row>
    <row r="381" ht="14.25" customHeight="1">
      <c r="A381" s="17">
        <v>46181.0</v>
      </c>
      <c r="B381" s="18" t="s">
        <v>54</v>
      </c>
      <c r="C381" s="18" t="s">
        <v>27</v>
      </c>
      <c r="D381" s="19">
        <v>0.365277777777778</v>
      </c>
      <c r="E381" s="19">
        <v>0.408333333333333</v>
      </c>
      <c r="F381" s="12" t="str">
        <f t="shared" si="1"/>
        <v>62</v>
      </c>
      <c r="G381" s="18" t="s">
        <v>35</v>
      </c>
      <c r="H381" s="12" t="str">
        <f t="shared" si="4"/>
        <v/>
      </c>
      <c r="I381" s="14" t="str">
        <f t="shared" si="2"/>
        <v>08/06</v>
      </c>
      <c r="J381" s="15" t="str">
        <f t="shared" si="3"/>
        <v>Matin</v>
      </c>
    </row>
    <row r="382" ht="14.25" customHeight="1">
      <c r="A382" s="17">
        <v>46181.0</v>
      </c>
      <c r="B382" s="18" t="s">
        <v>54</v>
      </c>
      <c r="C382" s="18" t="s">
        <v>27</v>
      </c>
      <c r="D382" s="19">
        <v>0.408333333333333</v>
      </c>
      <c r="E382" s="19">
        <v>0.479166666666667</v>
      </c>
      <c r="F382" s="12" t="str">
        <f t="shared" si="1"/>
        <v>102</v>
      </c>
      <c r="G382" s="18" t="s">
        <v>79</v>
      </c>
      <c r="H382" s="12" t="str">
        <f t="shared" si="4"/>
        <v/>
      </c>
      <c r="I382" s="14" t="str">
        <f t="shared" si="2"/>
        <v>08/06</v>
      </c>
      <c r="J382" s="15" t="str">
        <f t="shared" si="3"/>
        <v>Matin</v>
      </c>
    </row>
    <row r="383" ht="14.25" customHeight="1">
      <c r="A383" s="17">
        <v>46181.0</v>
      </c>
      <c r="B383" s="18" t="s">
        <v>54</v>
      </c>
      <c r="C383" s="18" t="s">
        <v>27</v>
      </c>
      <c r="D383" s="19">
        <v>0.479166666666667</v>
      </c>
      <c r="E383" s="19">
        <v>0.575</v>
      </c>
      <c r="F383" s="12" t="str">
        <f t="shared" si="1"/>
        <v>138</v>
      </c>
      <c r="G383" s="18" t="s">
        <v>23</v>
      </c>
      <c r="H383" s="12" t="str">
        <f t="shared" si="4"/>
        <v/>
      </c>
      <c r="I383" s="14" t="str">
        <f t="shared" si="2"/>
        <v>08/06</v>
      </c>
      <c r="J383" s="15" t="str">
        <f t="shared" si="3"/>
        <v>Matin</v>
      </c>
    </row>
    <row r="384" ht="14.25" customHeight="1">
      <c r="A384" s="17">
        <v>46181.0</v>
      </c>
      <c r="B384" s="18" t="s">
        <v>67</v>
      </c>
      <c r="C384" s="18" t="s">
        <v>27</v>
      </c>
      <c r="D384" s="19">
        <v>0.586111111111111</v>
      </c>
      <c r="E384" s="19">
        <v>0.625</v>
      </c>
      <c r="F384" s="12" t="str">
        <f t="shared" si="1"/>
        <v>56</v>
      </c>
      <c r="G384" s="18" t="s">
        <v>26</v>
      </c>
      <c r="H384" s="12" t="str">
        <f t="shared" si="4"/>
        <v>16</v>
      </c>
      <c r="I384" s="14" t="str">
        <f t="shared" si="2"/>
        <v>08/06</v>
      </c>
      <c r="J384" s="15" t="str">
        <f t="shared" si="3"/>
        <v>Après-midi</v>
      </c>
    </row>
    <row r="385" ht="14.25" customHeight="1">
      <c r="A385" s="17">
        <v>46181.0</v>
      </c>
      <c r="B385" s="18" t="s">
        <v>67</v>
      </c>
      <c r="C385" s="18" t="s">
        <v>27</v>
      </c>
      <c r="D385" s="19">
        <v>0.63125</v>
      </c>
      <c r="E385" s="19">
        <v>0.689583333333333</v>
      </c>
      <c r="F385" s="12" t="str">
        <f t="shared" si="1"/>
        <v>84</v>
      </c>
      <c r="G385" s="18" t="s">
        <v>65</v>
      </c>
      <c r="H385" s="12" t="str">
        <f t="shared" si="4"/>
        <v/>
      </c>
      <c r="I385" s="14" t="str">
        <f t="shared" si="2"/>
        <v>08/06</v>
      </c>
      <c r="J385" s="15" t="str">
        <f t="shared" si="3"/>
        <v>Après-midi</v>
      </c>
    </row>
    <row r="386" ht="14.25" customHeight="1">
      <c r="A386" s="17">
        <v>46181.0</v>
      </c>
      <c r="B386" s="18" t="s">
        <v>67</v>
      </c>
      <c r="C386" s="18" t="s">
        <v>27</v>
      </c>
      <c r="D386" s="19">
        <v>0.697222222222222</v>
      </c>
      <c r="E386" s="19">
        <v>0.839583333333333</v>
      </c>
      <c r="F386" s="12" t="str">
        <f t="shared" si="1"/>
        <v>205</v>
      </c>
      <c r="G386" s="18" t="s">
        <v>23</v>
      </c>
      <c r="H386" s="12" t="str">
        <f t="shared" si="4"/>
        <v/>
      </c>
      <c r="I386" s="14" t="str">
        <f t="shared" si="2"/>
        <v>08/06</v>
      </c>
      <c r="J386" s="15" t="str">
        <f t="shared" si="3"/>
        <v>Après-midi</v>
      </c>
    </row>
    <row r="387" ht="14.25" customHeight="1">
      <c r="A387" s="17">
        <v>46181.0</v>
      </c>
      <c r="B387" s="18" t="s">
        <v>67</v>
      </c>
      <c r="C387" s="18" t="s">
        <v>27</v>
      </c>
      <c r="D387" s="19">
        <v>0.847222222222222</v>
      </c>
      <c r="E387" s="19">
        <v>0.916666666666667</v>
      </c>
      <c r="F387" s="12" t="str">
        <f t="shared" si="1"/>
        <v>100</v>
      </c>
      <c r="G387" s="18" t="s">
        <v>23</v>
      </c>
      <c r="H387" s="12" t="str">
        <f t="shared" si="4"/>
        <v/>
      </c>
      <c r="I387" s="14" t="str">
        <f t="shared" si="2"/>
        <v>08/06</v>
      </c>
      <c r="J387" s="15" t="str">
        <f t="shared" si="3"/>
        <v>Après-midi</v>
      </c>
    </row>
    <row r="388" ht="14.25" customHeight="1">
      <c r="A388" s="17">
        <v>46181.0</v>
      </c>
      <c r="B388" s="18" t="s">
        <v>66</v>
      </c>
      <c r="C388" s="18" t="s">
        <v>27</v>
      </c>
      <c r="D388" s="19">
        <v>0.916666666666667</v>
      </c>
      <c r="E388" s="19">
        <v>0.922222222222222</v>
      </c>
      <c r="F388" s="12" t="str">
        <f t="shared" si="1"/>
        <v>8</v>
      </c>
      <c r="G388" s="18" t="s">
        <v>65</v>
      </c>
      <c r="H388" s="12" t="str">
        <f t="shared" si="4"/>
        <v>0</v>
      </c>
      <c r="I388" s="14" t="str">
        <f t="shared" si="2"/>
        <v>08/06</v>
      </c>
      <c r="J388" s="15" t="str">
        <f t="shared" si="3"/>
        <v>Nuit</v>
      </c>
    </row>
    <row r="389" ht="14.25" customHeight="1">
      <c r="A389" s="20">
        <v>46181.0</v>
      </c>
      <c r="B389" s="21" t="s">
        <v>66</v>
      </c>
      <c r="C389" s="21" t="s">
        <v>27</v>
      </c>
      <c r="D389" s="22">
        <v>0.95625</v>
      </c>
      <c r="E389" s="22">
        <v>0.0763888888888889</v>
      </c>
      <c r="F389" s="23" t="str">
        <f t="shared" si="1"/>
        <v>173</v>
      </c>
      <c r="G389" s="21" t="s">
        <v>23</v>
      </c>
      <c r="H389" s="12" t="str">
        <f t="shared" si="4"/>
        <v/>
      </c>
      <c r="I389" s="14" t="str">
        <f t="shared" si="2"/>
        <v>08/06</v>
      </c>
      <c r="J389" s="15" t="str">
        <f t="shared" si="3"/>
        <v>Nuit</v>
      </c>
      <c r="K389" s="24"/>
    </row>
    <row r="390" ht="14.25" customHeight="1">
      <c r="A390" s="17">
        <v>46182.0</v>
      </c>
      <c r="B390" s="18" t="s">
        <v>66</v>
      </c>
      <c r="C390" s="18" t="s">
        <v>27</v>
      </c>
      <c r="D390" s="19">
        <v>0.0944444444444444</v>
      </c>
      <c r="E390" s="19">
        <v>0.138194444444445</v>
      </c>
      <c r="F390" s="12" t="str">
        <f t="shared" si="1"/>
        <v>63</v>
      </c>
      <c r="G390" s="18" t="s">
        <v>65</v>
      </c>
      <c r="H390" s="12" t="str">
        <f t="shared" si="4"/>
        <v/>
      </c>
      <c r="I390" s="14" t="str">
        <f t="shared" si="2"/>
        <v>08/06</v>
      </c>
      <c r="J390" s="15" t="str">
        <f t="shared" si="3"/>
        <v>Nuit</v>
      </c>
    </row>
    <row r="391" ht="14.25" customHeight="1">
      <c r="A391" s="17">
        <v>46182.0</v>
      </c>
      <c r="B391" s="18" t="s">
        <v>66</v>
      </c>
      <c r="C391" s="18" t="s">
        <v>27</v>
      </c>
      <c r="D391" s="19">
        <v>0.141666666666667</v>
      </c>
      <c r="E391" s="19">
        <v>0.243055555555556</v>
      </c>
      <c r="F391" s="12" t="str">
        <f t="shared" si="1"/>
        <v>146</v>
      </c>
      <c r="G391" s="18" t="s">
        <v>23</v>
      </c>
      <c r="H391" s="12" t="str">
        <f t="shared" si="4"/>
        <v/>
      </c>
      <c r="I391" s="14" t="str">
        <f t="shared" si="2"/>
        <v>08/06</v>
      </c>
      <c r="J391" s="15" t="str">
        <f t="shared" si="3"/>
        <v>Nuit</v>
      </c>
    </row>
    <row r="392" ht="14.25" customHeight="1">
      <c r="A392" s="17">
        <v>46182.0</v>
      </c>
      <c r="B392" s="18" t="s">
        <v>54</v>
      </c>
      <c r="C392" s="18" t="s">
        <v>27</v>
      </c>
      <c r="D392" s="19">
        <v>0.25</v>
      </c>
      <c r="E392" s="19">
        <v>0.314583333333333</v>
      </c>
      <c r="F392" s="12" t="str">
        <f t="shared" si="1"/>
        <v>93</v>
      </c>
      <c r="G392" s="18" t="s">
        <v>23</v>
      </c>
      <c r="H392" s="12" t="str">
        <f t="shared" si="4"/>
        <v>10</v>
      </c>
      <c r="I392" s="14" t="str">
        <f t="shared" si="2"/>
        <v>09/06</v>
      </c>
      <c r="J392" s="15" t="str">
        <f t="shared" si="3"/>
        <v>Matin</v>
      </c>
    </row>
    <row r="393" ht="14.25" customHeight="1">
      <c r="A393" s="17">
        <v>46182.0</v>
      </c>
      <c r="B393" s="18" t="s">
        <v>54</v>
      </c>
      <c r="C393" s="18" t="s">
        <v>27</v>
      </c>
      <c r="D393" s="19">
        <v>0.320833333333333</v>
      </c>
      <c r="E393" s="19">
        <v>0.416666666666667</v>
      </c>
      <c r="F393" s="12" t="str">
        <f t="shared" si="1"/>
        <v>138</v>
      </c>
      <c r="G393" s="18" t="s">
        <v>35</v>
      </c>
      <c r="H393" s="12" t="str">
        <f t="shared" si="4"/>
        <v/>
      </c>
      <c r="I393" s="14" t="str">
        <f t="shared" si="2"/>
        <v>09/06</v>
      </c>
      <c r="J393" s="15" t="str">
        <f t="shared" si="3"/>
        <v>Matin</v>
      </c>
    </row>
    <row r="394" ht="14.25" customHeight="1">
      <c r="A394" s="17">
        <v>46182.0</v>
      </c>
      <c r="B394" s="18" t="s">
        <v>54</v>
      </c>
      <c r="C394" s="18" t="s">
        <v>27</v>
      </c>
      <c r="D394" s="19">
        <v>0.423611111111111</v>
      </c>
      <c r="E394" s="19">
        <v>0.486111111111111</v>
      </c>
      <c r="F394" s="12" t="str">
        <f t="shared" si="1"/>
        <v>90</v>
      </c>
      <c r="G394" s="18" t="s">
        <v>79</v>
      </c>
      <c r="H394" s="12" t="str">
        <f t="shared" si="4"/>
        <v/>
      </c>
      <c r="I394" s="14" t="str">
        <f t="shared" si="2"/>
        <v>09/06</v>
      </c>
      <c r="J394" s="15" t="str">
        <f t="shared" si="3"/>
        <v>Matin</v>
      </c>
    </row>
    <row r="395" ht="14.25" customHeight="1">
      <c r="A395" s="17">
        <v>46182.0</v>
      </c>
      <c r="B395" s="18" t="s">
        <v>54</v>
      </c>
      <c r="C395" s="18" t="s">
        <v>27</v>
      </c>
      <c r="D395" s="19">
        <v>0.486111111111111</v>
      </c>
      <c r="E395" s="19">
        <v>0.502083333333333</v>
      </c>
      <c r="F395" s="12" t="str">
        <f t="shared" si="1"/>
        <v>23</v>
      </c>
      <c r="G395" s="18" t="s">
        <v>26</v>
      </c>
      <c r="H395" s="12" t="str">
        <f t="shared" si="4"/>
        <v/>
      </c>
      <c r="I395" s="14" t="str">
        <f t="shared" si="2"/>
        <v>09/06</v>
      </c>
      <c r="J395" s="15" t="str">
        <f t="shared" si="3"/>
        <v>Matin</v>
      </c>
    </row>
    <row r="396" ht="14.25" customHeight="1">
      <c r="A396" s="17">
        <v>46182.0</v>
      </c>
      <c r="B396" s="18" t="s">
        <v>54</v>
      </c>
      <c r="C396" s="18" t="s">
        <v>27</v>
      </c>
      <c r="D396" s="19">
        <v>0.51875</v>
      </c>
      <c r="E396" s="19">
        <v>0.583333333333333</v>
      </c>
      <c r="F396" s="12" t="str">
        <f t="shared" si="1"/>
        <v>93</v>
      </c>
      <c r="G396" s="18" t="s">
        <v>23</v>
      </c>
      <c r="H396" s="12" t="str">
        <f t="shared" si="4"/>
        <v/>
      </c>
      <c r="I396" s="14" t="str">
        <f t="shared" si="2"/>
        <v>09/06</v>
      </c>
      <c r="J396" s="15" t="str">
        <f t="shared" si="3"/>
        <v>Matin</v>
      </c>
    </row>
    <row r="397" ht="14.25" customHeight="1">
      <c r="A397" s="17">
        <v>46182.0</v>
      </c>
      <c r="B397" s="18" t="s">
        <v>67</v>
      </c>
      <c r="C397" s="18" t="s">
        <v>27</v>
      </c>
      <c r="D397" s="19">
        <v>0.5875</v>
      </c>
      <c r="E397" s="19">
        <v>0.638888888888889</v>
      </c>
      <c r="F397" s="12" t="str">
        <f t="shared" si="1"/>
        <v>74</v>
      </c>
      <c r="G397" s="18" t="s">
        <v>23</v>
      </c>
      <c r="H397" s="12" t="str">
        <f t="shared" si="4"/>
        <v>6</v>
      </c>
      <c r="I397" s="14" t="str">
        <f t="shared" si="2"/>
        <v>09/06</v>
      </c>
      <c r="J397" s="15" t="str">
        <f t="shared" si="3"/>
        <v>Après-midi</v>
      </c>
    </row>
    <row r="398" ht="14.25" customHeight="1">
      <c r="A398" s="17">
        <v>46182.0</v>
      </c>
      <c r="B398" s="18" t="s">
        <v>67</v>
      </c>
      <c r="C398" s="18" t="s">
        <v>27</v>
      </c>
      <c r="D398" s="19">
        <v>0.649305555555556</v>
      </c>
      <c r="E398" s="19">
        <v>0.673611111111111</v>
      </c>
      <c r="F398" s="12" t="str">
        <f t="shared" si="1"/>
        <v>35</v>
      </c>
      <c r="G398" s="18" t="s">
        <v>32</v>
      </c>
      <c r="H398" s="12" t="str">
        <f t="shared" si="4"/>
        <v/>
      </c>
      <c r="I398" s="14" t="str">
        <f t="shared" si="2"/>
        <v>09/06</v>
      </c>
      <c r="J398" s="15" t="str">
        <f t="shared" si="3"/>
        <v>Après-midi</v>
      </c>
    </row>
    <row r="399" ht="14.25" customHeight="1">
      <c r="A399" s="17">
        <v>46182.0</v>
      </c>
      <c r="B399" s="18" t="s">
        <v>67</v>
      </c>
      <c r="C399" s="18" t="s">
        <v>27</v>
      </c>
      <c r="D399" s="19">
        <v>0.677083333333333</v>
      </c>
      <c r="E399" s="19">
        <v>0.6875</v>
      </c>
      <c r="F399" s="12" t="str">
        <f t="shared" si="1"/>
        <v>15</v>
      </c>
      <c r="G399" s="18" t="s">
        <v>65</v>
      </c>
      <c r="H399" s="12" t="str">
        <f t="shared" si="4"/>
        <v/>
      </c>
      <c r="I399" s="14" t="str">
        <f t="shared" si="2"/>
        <v>09/06</v>
      </c>
      <c r="J399" s="15" t="str">
        <f t="shared" si="3"/>
        <v>Après-midi</v>
      </c>
    </row>
    <row r="400" ht="14.25" customHeight="1">
      <c r="A400" s="17">
        <v>46182.0</v>
      </c>
      <c r="B400" s="18" t="s">
        <v>67</v>
      </c>
      <c r="C400" s="18" t="s">
        <v>27</v>
      </c>
      <c r="D400" s="19">
        <v>0.693055555555556</v>
      </c>
      <c r="E400" s="19">
        <v>0.729166666666667</v>
      </c>
      <c r="F400" s="12" t="str">
        <f t="shared" si="1"/>
        <v>52</v>
      </c>
      <c r="G400" s="18" t="s">
        <v>26</v>
      </c>
      <c r="H400" s="12" t="str">
        <f t="shared" si="4"/>
        <v/>
      </c>
      <c r="I400" s="14" t="str">
        <f t="shared" si="2"/>
        <v>09/06</v>
      </c>
      <c r="J400" s="15" t="str">
        <f t="shared" si="3"/>
        <v>Après-midi</v>
      </c>
    </row>
    <row r="401" ht="14.25" customHeight="1">
      <c r="A401" s="17">
        <v>46182.0</v>
      </c>
      <c r="B401" s="18" t="s">
        <v>67</v>
      </c>
      <c r="C401" s="18" t="s">
        <v>27</v>
      </c>
      <c r="D401" s="19">
        <v>0.756944444444444</v>
      </c>
      <c r="E401" s="19">
        <v>0.843055555555556</v>
      </c>
      <c r="F401" s="12" t="str">
        <f t="shared" si="1"/>
        <v>124</v>
      </c>
      <c r="G401" s="18" t="s">
        <v>26</v>
      </c>
      <c r="H401" s="12" t="str">
        <f t="shared" si="4"/>
        <v/>
      </c>
      <c r="I401" s="14" t="str">
        <f t="shared" si="2"/>
        <v>09/06</v>
      </c>
      <c r="J401" s="15" t="str">
        <f t="shared" si="3"/>
        <v>Après-midi</v>
      </c>
    </row>
    <row r="402" ht="28.5" customHeight="1">
      <c r="A402" s="17">
        <v>46182.0</v>
      </c>
      <c r="B402" s="18" t="s">
        <v>67</v>
      </c>
      <c r="C402" s="18" t="s">
        <v>27</v>
      </c>
      <c r="D402" s="19">
        <v>0.847222222222222</v>
      </c>
      <c r="E402" s="19">
        <v>0.895833333333333</v>
      </c>
      <c r="F402" s="12" t="str">
        <f t="shared" si="1"/>
        <v>70</v>
      </c>
      <c r="G402" s="18" t="s">
        <v>80</v>
      </c>
      <c r="H402" s="12" t="str">
        <f t="shared" si="4"/>
        <v/>
      </c>
      <c r="I402" s="14" t="str">
        <f t="shared" si="2"/>
        <v>09/06</v>
      </c>
      <c r="J402" s="15" t="str">
        <f t="shared" si="3"/>
        <v>Après-midi</v>
      </c>
    </row>
    <row r="403" ht="14.25" customHeight="1">
      <c r="A403" s="17">
        <v>46182.0</v>
      </c>
      <c r="B403" s="18" t="s">
        <v>66</v>
      </c>
      <c r="C403" s="18" t="s">
        <v>27</v>
      </c>
      <c r="D403" s="19">
        <v>0.916666666666667</v>
      </c>
      <c r="E403" s="19">
        <v>0.985416666666667</v>
      </c>
      <c r="F403" s="12" t="str">
        <f t="shared" si="1"/>
        <v>99</v>
      </c>
      <c r="G403" s="18" t="s">
        <v>26</v>
      </c>
      <c r="H403" s="12" t="str">
        <f t="shared" si="4"/>
        <v>30</v>
      </c>
      <c r="I403" s="14" t="str">
        <f t="shared" si="2"/>
        <v>09/06</v>
      </c>
      <c r="J403" s="15" t="str">
        <f t="shared" si="3"/>
        <v>Nuit</v>
      </c>
    </row>
    <row r="404" ht="14.25" customHeight="1">
      <c r="A404" s="20">
        <v>46182.0</v>
      </c>
      <c r="B404" s="21" t="s">
        <v>66</v>
      </c>
      <c r="C404" s="21" t="s">
        <v>27</v>
      </c>
      <c r="D404" s="22">
        <v>0.989583333333333</v>
      </c>
      <c r="E404" s="22">
        <v>0.0833333333333333</v>
      </c>
      <c r="F404" s="23" t="str">
        <f t="shared" si="1"/>
        <v>135</v>
      </c>
      <c r="G404" s="21" t="s">
        <v>65</v>
      </c>
      <c r="H404" s="12" t="str">
        <f t="shared" si="4"/>
        <v/>
      </c>
      <c r="I404" s="14" t="str">
        <f t="shared" si="2"/>
        <v>09/06</v>
      </c>
      <c r="J404" s="15" t="str">
        <f t="shared" si="3"/>
        <v>Nuit</v>
      </c>
      <c r="K404" s="24"/>
    </row>
    <row r="405" ht="14.25" customHeight="1">
      <c r="A405" s="17">
        <v>46183.0</v>
      </c>
      <c r="B405" s="18" t="s">
        <v>66</v>
      </c>
      <c r="C405" s="18" t="s">
        <v>27</v>
      </c>
      <c r="D405" s="19">
        <v>0.102083333333333</v>
      </c>
      <c r="E405" s="19">
        <v>0.208333333333333</v>
      </c>
      <c r="F405" s="12" t="str">
        <f t="shared" si="1"/>
        <v>153</v>
      </c>
      <c r="G405" s="18" t="s">
        <v>23</v>
      </c>
      <c r="H405" s="12" t="str">
        <f t="shared" si="4"/>
        <v/>
      </c>
      <c r="I405" s="14" t="str">
        <f t="shared" si="2"/>
        <v>09/06</v>
      </c>
      <c r="J405" s="15" t="str">
        <f t="shared" si="3"/>
        <v>Nuit</v>
      </c>
    </row>
    <row r="406" ht="14.25" customHeight="1">
      <c r="A406" s="17">
        <v>46183.0</v>
      </c>
      <c r="B406" s="18" t="s">
        <v>66</v>
      </c>
      <c r="C406" s="18" t="s">
        <v>27</v>
      </c>
      <c r="D406" s="19">
        <v>0.215277777777778</v>
      </c>
      <c r="E406" s="19">
        <v>0.25</v>
      </c>
      <c r="F406" s="12" t="str">
        <f t="shared" si="1"/>
        <v>50</v>
      </c>
      <c r="G406" s="18" t="s">
        <v>23</v>
      </c>
      <c r="H406" s="12" t="str">
        <f t="shared" si="4"/>
        <v/>
      </c>
      <c r="I406" s="14" t="str">
        <f t="shared" si="2"/>
        <v>09/06</v>
      </c>
      <c r="J406" s="15" t="str">
        <f t="shared" si="3"/>
        <v>Nuit</v>
      </c>
    </row>
    <row r="407" ht="14.25" customHeight="1">
      <c r="A407" s="17">
        <v>46183.0</v>
      </c>
      <c r="B407" s="18" t="s">
        <v>54</v>
      </c>
      <c r="C407" s="18" t="s">
        <v>27</v>
      </c>
      <c r="D407" s="19">
        <v>0.25</v>
      </c>
      <c r="E407" s="19">
        <v>0.365972222222222</v>
      </c>
      <c r="F407" s="12" t="str">
        <f t="shared" si="1"/>
        <v>167</v>
      </c>
      <c r="G407" s="18" t="s">
        <v>35</v>
      </c>
      <c r="H407" s="12" t="str">
        <f t="shared" si="4"/>
        <v>0</v>
      </c>
      <c r="I407" s="14" t="str">
        <f t="shared" si="2"/>
        <v>10/06</v>
      </c>
      <c r="J407" s="15" t="str">
        <f t="shared" si="3"/>
        <v>Matin</v>
      </c>
    </row>
    <row r="408" ht="14.25" customHeight="1">
      <c r="A408" s="17">
        <v>46183.0</v>
      </c>
      <c r="B408" s="18" t="s">
        <v>54</v>
      </c>
      <c r="C408" s="18" t="s">
        <v>27</v>
      </c>
      <c r="D408" s="19">
        <v>0.372916666666667</v>
      </c>
      <c r="E408" s="19">
        <v>0.416666666666667</v>
      </c>
      <c r="F408" s="12" t="str">
        <f t="shared" si="1"/>
        <v>63</v>
      </c>
      <c r="G408" s="18" t="s">
        <v>23</v>
      </c>
      <c r="H408" s="12" t="str">
        <f t="shared" si="4"/>
        <v/>
      </c>
      <c r="I408" s="14" t="str">
        <f t="shared" si="2"/>
        <v>10/06</v>
      </c>
      <c r="J408" s="15" t="str">
        <f t="shared" si="3"/>
        <v>Matin</v>
      </c>
    </row>
    <row r="409" ht="14.25" customHeight="1">
      <c r="A409" s="17">
        <v>46183.0</v>
      </c>
      <c r="B409" s="18" t="s">
        <v>54</v>
      </c>
      <c r="C409" s="18" t="s">
        <v>27</v>
      </c>
      <c r="D409" s="19">
        <v>0.416666666666667</v>
      </c>
      <c r="E409" s="19">
        <v>0.458333333333333</v>
      </c>
      <c r="F409" s="12" t="str">
        <f t="shared" si="1"/>
        <v>60</v>
      </c>
      <c r="G409" s="18" t="s">
        <v>79</v>
      </c>
      <c r="H409" s="12" t="str">
        <f t="shared" si="4"/>
        <v/>
      </c>
      <c r="I409" s="14" t="str">
        <f t="shared" si="2"/>
        <v>10/06</v>
      </c>
      <c r="J409" s="15" t="str">
        <f t="shared" si="3"/>
        <v>Matin</v>
      </c>
    </row>
    <row r="410" ht="14.25" customHeight="1">
      <c r="A410" s="17">
        <v>46183.0</v>
      </c>
      <c r="B410" s="18" t="s">
        <v>54</v>
      </c>
      <c r="C410" s="18" t="s">
        <v>27</v>
      </c>
      <c r="D410" s="19">
        <v>0.460416666666667</v>
      </c>
      <c r="E410" s="19">
        <v>0.583333333333333</v>
      </c>
      <c r="F410" s="12" t="str">
        <f t="shared" si="1"/>
        <v>177</v>
      </c>
      <c r="G410" s="18" t="s">
        <v>23</v>
      </c>
      <c r="H410" s="12" t="str">
        <f t="shared" si="4"/>
        <v/>
      </c>
      <c r="I410" s="14" t="str">
        <f t="shared" si="2"/>
        <v>10/06</v>
      </c>
      <c r="J410" s="15" t="str">
        <f t="shared" si="3"/>
        <v>Matin</v>
      </c>
    </row>
    <row r="411" ht="14.25" customHeight="1">
      <c r="A411" s="17">
        <v>46183.0</v>
      </c>
      <c r="B411" s="18" t="s">
        <v>67</v>
      </c>
      <c r="C411" s="18" t="s">
        <v>27</v>
      </c>
      <c r="D411" s="19">
        <v>0.589583333333333</v>
      </c>
      <c r="E411" s="19">
        <v>0.606944444444444</v>
      </c>
      <c r="F411" s="12" t="str">
        <f t="shared" si="1"/>
        <v>25</v>
      </c>
      <c r="G411" s="18" t="s">
        <v>26</v>
      </c>
      <c r="H411" s="12" t="str">
        <f t="shared" si="4"/>
        <v>9</v>
      </c>
      <c r="I411" s="14" t="str">
        <f t="shared" si="2"/>
        <v>10/06</v>
      </c>
      <c r="J411" s="15" t="str">
        <f t="shared" si="3"/>
        <v>Après-midi</v>
      </c>
    </row>
    <row r="412" ht="14.25" customHeight="1">
      <c r="A412" s="17">
        <v>46183.0</v>
      </c>
      <c r="B412" s="18" t="s">
        <v>67</v>
      </c>
      <c r="C412" s="18" t="s">
        <v>27</v>
      </c>
      <c r="D412" s="19">
        <v>0.6125</v>
      </c>
      <c r="E412" s="19">
        <v>0.748611111111111</v>
      </c>
      <c r="F412" s="12" t="str">
        <f t="shared" si="1"/>
        <v>196</v>
      </c>
      <c r="G412" s="18" t="s">
        <v>23</v>
      </c>
      <c r="H412" s="12" t="str">
        <f t="shared" si="4"/>
        <v/>
      </c>
      <c r="I412" s="14" t="str">
        <f t="shared" si="2"/>
        <v>10/06</v>
      </c>
      <c r="J412" s="15" t="str">
        <f t="shared" si="3"/>
        <v>Après-midi</v>
      </c>
    </row>
    <row r="413" ht="14.25" customHeight="1">
      <c r="A413" s="17">
        <v>46183.0</v>
      </c>
      <c r="B413" s="18" t="s">
        <v>67</v>
      </c>
      <c r="C413" s="18" t="s">
        <v>27</v>
      </c>
      <c r="D413" s="19">
        <v>0.75625</v>
      </c>
      <c r="E413" s="19">
        <v>0.899305555555556</v>
      </c>
      <c r="F413" s="12" t="str">
        <f t="shared" si="1"/>
        <v>206</v>
      </c>
      <c r="G413" s="18" t="s">
        <v>23</v>
      </c>
      <c r="H413" s="12" t="str">
        <f t="shared" si="4"/>
        <v/>
      </c>
      <c r="I413" s="14" t="str">
        <f t="shared" si="2"/>
        <v>10/06</v>
      </c>
      <c r="J413" s="15" t="str">
        <f t="shared" si="3"/>
        <v>Après-midi</v>
      </c>
    </row>
    <row r="414" ht="14.25" customHeight="1">
      <c r="A414" s="17">
        <v>46183.0</v>
      </c>
      <c r="B414" s="18" t="s">
        <v>66</v>
      </c>
      <c r="C414" s="18" t="s">
        <v>27</v>
      </c>
      <c r="D414" s="19">
        <v>0.916666666666667</v>
      </c>
      <c r="E414" s="19">
        <v>0.989583333333333</v>
      </c>
      <c r="F414" s="12" t="str">
        <f t="shared" si="1"/>
        <v>105</v>
      </c>
      <c r="G414" s="18" t="s">
        <v>26</v>
      </c>
      <c r="H414" s="12" t="str">
        <f t="shared" si="4"/>
        <v>25</v>
      </c>
      <c r="I414" s="14" t="str">
        <f t="shared" si="2"/>
        <v>10/06</v>
      </c>
      <c r="J414" s="15" t="str">
        <f t="shared" si="3"/>
        <v>Nuit</v>
      </c>
    </row>
    <row r="415" ht="14.25" customHeight="1">
      <c r="A415" s="20">
        <v>46183.0</v>
      </c>
      <c r="B415" s="21" t="s">
        <v>66</v>
      </c>
      <c r="C415" s="21" t="s">
        <v>27</v>
      </c>
      <c r="D415" s="22">
        <v>0.993055555555556</v>
      </c>
      <c r="E415" s="22">
        <v>0.108333333333333</v>
      </c>
      <c r="F415" s="23" t="str">
        <f t="shared" si="1"/>
        <v>166</v>
      </c>
      <c r="G415" s="21" t="s">
        <v>23</v>
      </c>
      <c r="H415" s="12" t="str">
        <f t="shared" si="4"/>
        <v/>
      </c>
      <c r="I415" s="14" t="str">
        <f t="shared" si="2"/>
        <v>10/06</v>
      </c>
      <c r="J415" s="15" t="str">
        <f t="shared" si="3"/>
        <v>Nuit</v>
      </c>
      <c r="K415" s="24"/>
    </row>
    <row r="416" ht="14.25" customHeight="1">
      <c r="A416" s="17">
        <v>46184.0</v>
      </c>
      <c r="B416" s="18" t="s">
        <v>66</v>
      </c>
      <c r="C416" s="18" t="s">
        <v>27</v>
      </c>
      <c r="D416" s="19">
        <v>0.111805555555556</v>
      </c>
      <c r="E416" s="19">
        <v>0.114583333333333</v>
      </c>
      <c r="F416" s="12" t="str">
        <f t="shared" si="1"/>
        <v>4</v>
      </c>
      <c r="G416" s="18" t="s">
        <v>23</v>
      </c>
      <c r="H416" s="12" t="str">
        <f t="shared" si="4"/>
        <v/>
      </c>
      <c r="I416" s="14" t="str">
        <f t="shared" si="2"/>
        <v>10/06</v>
      </c>
      <c r="J416" s="15" t="str">
        <f t="shared" si="3"/>
        <v>Nuit</v>
      </c>
    </row>
    <row r="417" ht="14.25" customHeight="1">
      <c r="A417" s="17">
        <v>46184.0</v>
      </c>
      <c r="B417" s="18" t="s">
        <v>66</v>
      </c>
      <c r="C417" s="18" t="s">
        <v>27</v>
      </c>
      <c r="D417" s="19">
        <v>0.120833333333333</v>
      </c>
      <c r="E417" s="19">
        <v>0.142361111111111</v>
      </c>
      <c r="F417" s="12" t="str">
        <f t="shared" si="1"/>
        <v>31</v>
      </c>
      <c r="G417" s="18" t="s">
        <v>35</v>
      </c>
      <c r="H417" s="12" t="str">
        <f t="shared" si="4"/>
        <v/>
      </c>
      <c r="I417" s="14" t="str">
        <f t="shared" si="2"/>
        <v>10/06</v>
      </c>
      <c r="J417" s="15" t="str">
        <f t="shared" si="3"/>
        <v>Nuit</v>
      </c>
    </row>
    <row r="418" ht="14.25" customHeight="1">
      <c r="A418" s="17">
        <v>46184.0</v>
      </c>
      <c r="B418" s="18" t="s">
        <v>66</v>
      </c>
      <c r="C418" s="18" t="s">
        <v>27</v>
      </c>
      <c r="D418" s="19">
        <v>0.14375</v>
      </c>
      <c r="E418" s="19">
        <v>0.25</v>
      </c>
      <c r="F418" s="12" t="str">
        <f t="shared" si="1"/>
        <v>153</v>
      </c>
      <c r="G418" s="18" t="s">
        <v>23</v>
      </c>
      <c r="H418" s="12" t="str">
        <f t="shared" si="4"/>
        <v/>
      </c>
      <c r="I418" s="14" t="str">
        <f t="shared" si="2"/>
        <v>10/06</v>
      </c>
      <c r="J418" s="15" t="str">
        <f t="shared" si="3"/>
        <v>Nuit</v>
      </c>
    </row>
    <row r="419" ht="14.25" customHeight="1">
      <c r="A419" s="17"/>
      <c r="B419" s="18"/>
      <c r="C419" s="18"/>
      <c r="D419" s="19"/>
      <c r="E419" s="19"/>
      <c r="F419" s="12" t="str">
        <f t="shared" si="1"/>
        <v/>
      </c>
      <c r="G419" s="18"/>
      <c r="H419" s="12" t="str">
        <f t="shared" si="4"/>
        <v/>
      </c>
      <c r="I419" s="14" t="str">
        <f t="shared" si="2"/>
        <v/>
      </c>
      <c r="J419" s="15" t="str">
        <f t="shared" si="3"/>
        <v/>
      </c>
    </row>
    <row r="420" ht="18.75" customHeight="1">
      <c r="A420" s="1" t="s">
        <v>81</v>
      </c>
      <c r="B420" s="2"/>
      <c r="C420" s="2"/>
      <c r="D420" s="2"/>
      <c r="E420" s="2"/>
      <c r="F420" s="12" t="str">
        <f t="shared" si="1"/>
        <v/>
      </c>
      <c r="G420" s="2"/>
      <c r="H420" s="12" t="str">
        <f t="shared" si="4"/>
        <v/>
      </c>
      <c r="I420" s="14" t="str">
        <f t="shared" si="2"/>
        <v/>
      </c>
      <c r="J420" s="15" t="str">
        <f t="shared" si="3"/>
        <v/>
      </c>
    </row>
    <row r="421" ht="14.25" customHeight="1">
      <c r="A421" s="17"/>
      <c r="B421" s="18"/>
      <c r="C421" s="18"/>
      <c r="D421" s="19"/>
      <c r="E421" s="19"/>
      <c r="F421" s="12" t="str">
        <f t="shared" si="1"/>
        <v/>
      </c>
      <c r="G421" s="18"/>
      <c r="H421" s="12" t="str">
        <f t="shared" si="4"/>
        <v/>
      </c>
      <c r="I421" s="14" t="str">
        <f t="shared" si="2"/>
        <v/>
      </c>
      <c r="J421" s="15" t="str">
        <f t="shared" si="3"/>
        <v/>
      </c>
    </row>
    <row r="422" ht="14.25" customHeight="1">
      <c r="A422" s="17">
        <v>46140.0</v>
      </c>
      <c r="B422" s="18" t="s">
        <v>54</v>
      </c>
      <c r="C422" s="18" t="s">
        <v>24</v>
      </c>
      <c r="D422" s="19">
        <v>0.260416666666667</v>
      </c>
      <c r="E422" s="19">
        <v>0.326388888888889</v>
      </c>
      <c r="F422" s="12" t="str">
        <f t="shared" si="1"/>
        <v>95</v>
      </c>
      <c r="G422" s="18" t="s">
        <v>23</v>
      </c>
      <c r="H422" s="12" t="str">
        <f t="shared" si="4"/>
        <v/>
      </c>
      <c r="I422" s="14" t="str">
        <f t="shared" si="2"/>
        <v>28/04</v>
      </c>
      <c r="J422" s="15" t="str">
        <f t="shared" si="3"/>
        <v>Matin</v>
      </c>
    </row>
    <row r="423" ht="14.25" customHeight="1">
      <c r="A423" s="17">
        <v>46140.0</v>
      </c>
      <c r="B423" s="18" t="s">
        <v>54</v>
      </c>
      <c r="C423" s="18" t="s">
        <v>24</v>
      </c>
      <c r="D423" s="19">
        <v>0.348611111111111</v>
      </c>
      <c r="E423" s="19">
        <v>0.409722222222222</v>
      </c>
      <c r="F423" s="12" t="str">
        <f t="shared" si="1"/>
        <v>88</v>
      </c>
      <c r="G423" s="18" t="s">
        <v>23</v>
      </c>
      <c r="H423" s="12" t="str">
        <f t="shared" si="4"/>
        <v/>
      </c>
      <c r="I423" s="14" t="str">
        <f t="shared" si="2"/>
        <v>28/04</v>
      </c>
      <c r="J423" s="15" t="str">
        <f t="shared" si="3"/>
        <v>Matin</v>
      </c>
    </row>
    <row r="424" ht="14.25" customHeight="1">
      <c r="A424" s="17">
        <v>46140.0</v>
      </c>
      <c r="B424" s="18" t="s">
        <v>54</v>
      </c>
      <c r="C424" s="18" t="s">
        <v>24</v>
      </c>
      <c r="D424" s="19">
        <v>0.447916666666667</v>
      </c>
      <c r="E424" s="19">
        <v>0.541666666666667</v>
      </c>
      <c r="F424" s="12" t="str">
        <f t="shared" si="1"/>
        <v>135</v>
      </c>
      <c r="G424" s="18" t="s">
        <v>23</v>
      </c>
      <c r="H424" s="12" t="str">
        <f t="shared" si="4"/>
        <v/>
      </c>
      <c r="I424" s="14" t="str">
        <f t="shared" si="2"/>
        <v>28/04</v>
      </c>
      <c r="J424" s="15" t="str">
        <f t="shared" si="3"/>
        <v>Matin</v>
      </c>
    </row>
    <row r="425" ht="14.25" customHeight="1">
      <c r="A425" s="17">
        <v>46140.0</v>
      </c>
      <c r="B425" s="18" t="s">
        <v>54</v>
      </c>
      <c r="C425" s="18" t="s">
        <v>24</v>
      </c>
      <c r="D425" s="19">
        <v>0.565972222222222</v>
      </c>
      <c r="E425" s="19">
        <v>0.583333333333333</v>
      </c>
      <c r="F425" s="12" t="str">
        <f t="shared" si="1"/>
        <v>25</v>
      </c>
      <c r="G425" s="18" t="s">
        <v>23</v>
      </c>
      <c r="H425" s="12" t="str">
        <f t="shared" si="4"/>
        <v/>
      </c>
      <c r="I425" s="14" t="str">
        <f t="shared" si="2"/>
        <v>28/04</v>
      </c>
      <c r="J425" s="15" t="str">
        <f t="shared" si="3"/>
        <v>Matin</v>
      </c>
    </row>
    <row r="426" ht="14.25" customHeight="1">
      <c r="A426" s="17">
        <v>46141.0</v>
      </c>
      <c r="B426" s="18" t="s">
        <v>54</v>
      </c>
      <c r="C426" s="18" t="s">
        <v>24</v>
      </c>
      <c r="D426" s="19">
        <v>0.260416666666667</v>
      </c>
      <c r="E426" s="19">
        <v>0.3125</v>
      </c>
      <c r="F426" s="12" t="str">
        <f t="shared" si="1"/>
        <v>75</v>
      </c>
      <c r="G426" s="18" t="s">
        <v>23</v>
      </c>
      <c r="H426" s="12" t="str">
        <f t="shared" si="4"/>
        <v/>
      </c>
      <c r="I426" s="14" t="str">
        <f t="shared" si="2"/>
        <v>29/04</v>
      </c>
      <c r="J426" s="15" t="str">
        <f t="shared" si="3"/>
        <v>Matin</v>
      </c>
    </row>
    <row r="427" ht="14.25" customHeight="1">
      <c r="A427" s="17">
        <v>46141.0</v>
      </c>
      <c r="B427" s="18" t="s">
        <v>54</v>
      </c>
      <c r="C427" s="18" t="s">
        <v>24</v>
      </c>
      <c r="D427" s="19">
        <v>0.319444444444444</v>
      </c>
      <c r="E427" s="19">
        <v>0.522222222222222</v>
      </c>
      <c r="F427" s="12" t="str">
        <f t="shared" si="1"/>
        <v>292</v>
      </c>
      <c r="G427" s="18" t="s">
        <v>23</v>
      </c>
      <c r="H427" s="12" t="str">
        <f t="shared" si="4"/>
        <v/>
      </c>
      <c r="I427" s="14" t="str">
        <f t="shared" si="2"/>
        <v>29/04</v>
      </c>
      <c r="J427" s="15" t="str">
        <f t="shared" si="3"/>
        <v>Matin</v>
      </c>
    </row>
    <row r="428" ht="14.25" customHeight="1">
      <c r="A428" s="17">
        <v>46141.0</v>
      </c>
      <c r="B428" s="18" t="s">
        <v>54</v>
      </c>
      <c r="C428" s="18" t="s">
        <v>24</v>
      </c>
      <c r="D428" s="19">
        <v>0.529166666666667</v>
      </c>
      <c r="E428" s="19">
        <v>0.5375</v>
      </c>
      <c r="F428" s="12" t="str">
        <f t="shared" si="1"/>
        <v>12</v>
      </c>
      <c r="G428" s="18" t="s">
        <v>82</v>
      </c>
      <c r="H428" s="12" t="str">
        <f t="shared" si="4"/>
        <v/>
      </c>
      <c r="I428" s="14" t="str">
        <f t="shared" si="2"/>
        <v>29/04</v>
      </c>
      <c r="J428" s="15" t="str">
        <f t="shared" si="3"/>
        <v>Matin</v>
      </c>
    </row>
    <row r="429" ht="14.25" customHeight="1">
      <c r="A429" s="17">
        <v>46141.0</v>
      </c>
      <c r="B429" s="18" t="s">
        <v>54</v>
      </c>
      <c r="C429" s="18" t="s">
        <v>24</v>
      </c>
      <c r="D429" s="19">
        <v>0.548611111111111</v>
      </c>
      <c r="E429" s="19">
        <v>0.579861111111111</v>
      </c>
      <c r="F429" s="12" t="str">
        <f t="shared" si="1"/>
        <v>45</v>
      </c>
      <c r="G429" s="18" t="s">
        <v>82</v>
      </c>
      <c r="H429" s="12" t="str">
        <f t="shared" si="4"/>
        <v/>
      </c>
      <c r="I429" s="14" t="str">
        <f t="shared" si="2"/>
        <v>29/04</v>
      </c>
      <c r="J429" s="15" t="str">
        <f t="shared" si="3"/>
        <v>Matin</v>
      </c>
    </row>
    <row r="430" ht="14.25" customHeight="1">
      <c r="A430" s="17">
        <v>46141.0</v>
      </c>
      <c r="B430" s="18" t="s">
        <v>66</v>
      </c>
      <c r="C430" s="18" t="s">
        <v>24</v>
      </c>
      <c r="D430" s="19">
        <v>0.583333333333333</v>
      </c>
      <c r="E430" s="19">
        <v>0.625</v>
      </c>
      <c r="F430" s="12" t="str">
        <f t="shared" si="1"/>
        <v>60</v>
      </c>
      <c r="G430" s="18" t="s">
        <v>71</v>
      </c>
      <c r="H430" s="12" t="str">
        <f t="shared" si="4"/>
        <v>5</v>
      </c>
      <c r="I430" s="14" t="str">
        <f t="shared" si="2"/>
        <v>29/04</v>
      </c>
      <c r="J430" s="15" t="str">
        <f t="shared" si="3"/>
        <v>Après-midi</v>
      </c>
    </row>
    <row r="431" ht="14.25" customHeight="1">
      <c r="A431" s="17">
        <v>46141.0</v>
      </c>
      <c r="B431" s="18" t="s">
        <v>66</v>
      </c>
      <c r="C431" s="18" t="s">
        <v>24</v>
      </c>
      <c r="D431" s="19">
        <v>0.631944444444444</v>
      </c>
      <c r="E431" s="19">
        <v>0.65625</v>
      </c>
      <c r="F431" s="12" t="str">
        <f t="shared" si="1"/>
        <v>35</v>
      </c>
      <c r="G431" s="18" t="s">
        <v>65</v>
      </c>
      <c r="H431" s="12" t="str">
        <f t="shared" si="4"/>
        <v/>
      </c>
      <c r="I431" s="14" t="str">
        <f t="shared" si="2"/>
        <v>29/04</v>
      </c>
      <c r="J431" s="15" t="str">
        <f t="shared" si="3"/>
        <v>Après-midi</v>
      </c>
    </row>
    <row r="432" ht="14.25" customHeight="1">
      <c r="A432" s="17">
        <v>46141.0</v>
      </c>
      <c r="B432" s="18" t="s">
        <v>66</v>
      </c>
      <c r="C432" s="18" t="s">
        <v>24</v>
      </c>
      <c r="D432" s="19">
        <v>0.663194444444444</v>
      </c>
      <c r="E432" s="19">
        <v>0.694444444444444</v>
      </c>
      <c r="F432" s="12" t="str">
        <f t="shared" si="1"/>
        <v>45</v>
      </c>
      <c r="G432" s="18" t="s">
        <v>71</v>
      </c>
      <c r="H432" s="12" t="str">
        <f t="shared" si="4"/>
        <v/>
      </c>
      <c r="I432" s="14" t="str">
        <f t="shared" si="2"/>
        <v>29/04</v>
      </c>
      <c r="J432" s="15" t="str">
        <f t="shared" si="3"/>
        <v>Après-midi</v>
      </c>
    </row>
    <row r="433" ht="14.25" customHeight="1">
      <c r="A433" s="17">
        <v>46141.0</v>
      </c>
      <c r="B433" s="18" t="s">
        <v>66</v>
      </c>
      <c r="C433" s="18" t="s">
        <v>24</v>
      </c>
      <c r="D433" s="19">
        <v>0.701388888888889</v>
      </c>
      <c r="E433" s="19">
        <v>0.75</v>
      </c>
      <c r="F433" s="12" t="str">
        <f t="shared" si="1"/>
        <v>70</v>
      </c>
      <c r="G433" s="18" t="s">
        <v>23</v>
      </c>
      <c r="H433" s="12" t="str">
        <f t="shared" si="4"/>
        <v/>
      </c>
      <c r="I433" s="14" t="str">
        <f t="shared" si="2"/>
        <v>29/04</v>
      </c>
      <c r="J433" s="15" t="str">
        <f t="shared" si="3"/>
        <v>Après-midi</v>
      </c>
    </row>
    <row r="434" ht="14.25" customHeight="1">
      <c r="A434" s="17">
        <v>46142.0</v>
      </c>
      <c r="B434" s="18" t="s">
        <v>54</v>
      </c>
      <c r="C434" s="18" t="s">
        <v>24</v>
      </c>
      <c r="D434" s="19">
        <v>0.256944444444444</v>
      </c>
      <c r="E434" s="19">
        <v>0.34375</v>
      </c>
      <c r="F434" s="12" t="str">
        <f t="shared" si="1"/>
        <v>125</v>
      </c>
      <c r="G434" s="18" t="s">
        <v>23</v>
      </c>
      <c r="H434" s="12" t="str">
        <f t="shared" si="4"/>
        <v>730</v>
      </c>
      <c r="I434" s="14" t="str">
        <f t="shared" si="2"/>
        <v>30/04</v>
      </c>
      <c r="J434" s="15" t="str">
        <f t="shared" si="3"/>
        <v>Matin</v>
      </c>
    </row>
    <row r="435" ht="14.25" customHeight="1">
      <c r="A435" s="17">
        <v>46146.0</v>
      </c>
      <c r="B435" s="18" t="s">
        <v>54</v>
      </c>
      <c r="C435" s="18" t="s">
        <v>24</v>
      </c>
      <c r="D435" s="19">
        <v>0.350694444444444</v>
      </c>
      <c r="E435" s="19">
        <v>0.440972222222222</v>
      </c>
      <c r="F435" s="12" t="str">
        <f t="shared" si="1"/>
        <v>130</v>
      </c>
      <c r="G435" s="18" t="s">
        <v>23</v>
      </c>
      <c r="H435" s="12" t="str">
        <f t="shared" si="4"/>
        <v/>
      </c>
      <c r="I435" s="14" t="str">
        <f t="shared" si="2"/>
        <v>04/05</v>
      </c>
      <c r="J435" s="15" t="str">
        <f t="shared" si="3"/>
        <v>Matin</v>
      </c>
    </row>
    <row r="436" ht="14.25" customHeight="1">
      <c r="A436" s="17">
        <v>46146.0</v>
      </c>
      <c r="B436" s="18" t="s">
        <v>54</v>
      </c>
      <c r="C436" s="18" t="s">
        <v>24</v>
      </c>
      <c r="D436" s="19">
        <v>0.447916666666667</v>
      </c>
      <c r="E436" s="19">
        <v>0.458333333333333</v>
      </c>
      <c r="F436" s="12" t="str">
        <f t="shared" si="1"/>
        <v>15</v>
      </c>
      <c r="G436" s="18" t="s">
        <v>65</v>
      </c>
      <c r="H436" s="12" t="str">
        <f t="shared" si="4"/>
        <v/>
      </c>
      <c r="I436" s="14" t="str">
        <f t="shared" si="2"/>
        <v>04/05</v>
      </c>
      <c r="J436" s="15" t="str">
        <f t="shared" si="3"/>
        <v>Matin</v>
      </c>
    </row>
    <row r="437" ht="14.25" customHeight="1">
      <c r="A437" s="17">
        <v>46146.0</v>
      </c>
      <c r="B437" s="18" t="s">
        <v>54</v>
      </c>
      <c r="C437" s="18" t="s">
        <v>24</v>
      </c>
      <c r="D437" s="19">
        <v>0.46875</v>
      </c>
      <c r="E437" s="19">
        <v>0.534722222222222</v>
      </c>
      <c r="F437" s="12" t="str">
        <f t="shared" si="1"/>
        <v>95</v>
      </c>
      <c r="G437" s="18" t="s">
        <v>23</v>
      </c>
      <c r="H437" s="12" t="str">
        <f t="shared" si="4"/>
        <v/>
      </c>
      <c r="I437" s="14" t="str">
        <f t="shared" si="2"/>
        <v>04/05</v>
      </c>
      <c r="J437" s="15" t="str">
        <f t="shared" si="3"/>
        <v>Matin</v>
      </c>
    </row>
    <row r="438" ht="14.25" customHeight="1">
      <c r="A438" s="17">
        <v>46146.0</v>
      </c>
      <c r="B438" s="18" t="s">
        <v>54</v>
      </c>
      <c r="C438" s="18" t="s">
        <v>24</v>
      </c>
      <c r="D438" s="19">
        <v>0.552083333333333</v>
      </c>
      <c r="E438" s="19">
        <v>0.583333333333333</v>
      </c>
      <c r="F438" s="12" t="str">
        <f t="shared" si="1"/>
        <v>45</v>
      </c>
      <c r="G438" s="18" t="s">
        <v>23</v>
      </c>
      <c r="H438" s="12" t="str">
        <f t="shared" si="4"/>
        <v/>
      </c>
      <c r="I438" s="14" t="str">
        <f t="shared" si="2"/>
        <v>04/05</v>
      </c>
      <c r="J438" s="15" t="str">
        <f t="shared" si="3"/>
        <v>Matin</v>
      </c>
    </row>
    <row r="439" ht="14.25" customHeight="1">
      <c r="A439" s="17">
        <v>46147.0</v>
      </c>
      <c r="B439" s="18" t="s">
        <v>66</v>
      </c>
      <c r="C439" s="18" t="s">
        <v>24</v>
      </c>
      <c r="D439" s="19">
        <v>0.614583333333333</v>
      </c>
      <c r="E439" s="19">
        <v>0.645833333333333</v>
      </c>
      <c r="F439" s="12" t="str">
        <f t="shared" si="1"/>
        <v>45</v>
      </c>
      <c r="G439" s="18" t="s">
        <v>83</v>
      </c>
      <c r="H439" s="12" t="str">
        <f t="shared" si="4"/>
        <v>45</v>
      </c>
      <c r="I439" s="14" t="str">
        <f t="shared" si="2"/>
        <v>05/05</v>
      </c>
      <c r="J439" s="15" t="str">
        <f t="shared" si="3"/>
        <v>Après-midi</v>
      </c>
    </row>
    <row r="440" ht="14.25" customHeight="1">
      <c r="A440" s="17">
        <v>46147.0</v>
      </c>
      <c r="B440" s="18" t="s">
        <v>66</v>
      </c>
      <c r="C440" s="18" t="s">
        <v>24</v>
      </c>
      <c r="D440" s="19">
        <v>0.656944444444444</v>
      </c>
      <c r="E440" s="19">
        <v>0.780555555555556</v>
      </c>
      <c r="F440" s="12" t="str">
        <f t="shared" si="1"/>
        <v>178</v>
      </c>
      <c r="G440" s="18" t="s">
        <v>23</v>
      </c>
      <c r="H440" s="12" t="str">
        <f t="shared" si="4"/>
        <v/>
      </c>
      <c r="I440" s="14" t="str">
        <f t="shared" si="2"/>
        <v>05/05</v>
      </c>
      <c r="J440" s="15" t="str">
        <f t="shared" si="3"/>
        <v>Après-midi</v>
      </c>
    </row>
    <row r="441" ht="14.25" customHeight="1">
      <c r="A441" s="17">
        <v>46147.0</v>
      </c>
      <c r="B441" s="18" t="s">
        <v>66</v>
      </c>
      <c r="C441" s="18" t="s">
        <v>24</v>
      </c>
      <c r="D441" s="19">
        <v>0.788194444444444</v>
      </c>
      <c r="E441" s="19">
        <v>0.8875</v>
      </c>
      <c r="F441" s="12" t="str">
        <f t="shared" si="1"/>
        <v>143</v>
      </c>
      <c r="G441" s="18" t="s">
        <v>23</v>
      </c>
      <c r="H441" s="12" t="str">
        <f t="shared" si="4"/>
        <v/>
      </c>
      <c r="I441" s="14" t="str">
        <f t="shared" si="2"/>
        <v>05/05</v>
      </c>
      <c r="J441" s="15" t="str">
        <f t="shared" si="3"/>
        <v>Après-midi</v>
      </c>
    </row>
    <row r="442" ht="14.25" customHeight="1">
      <c r="A442" s="17">
        <v>46148.0</v>
      </c>
      <c r="B442" s="18" t="s">
        <v>54</v>
      </c>
      <c r="C442" s="18" t="s">
        <v>24</v>
      </c>
      <c r="D442" s="19">
        <v>0.59375</v>
      </c>
      <c r="E442" s="19">
        <v>0.675694444444445</v>
      </c>
      <c r="F442" s="12" t="str">
        <f t="shared" si="1"/>
        <v>118</v>
      </c>
      <c r="G442" s="18" t="s">
        <v>23</v>
      </c>
      <c r="H442" s="12" t="str">
        <f t="shared" si="4"/>
        <v>1017</v>
      </c>
      <c r="I442" s="14" t="str">
        <f t="shared" si="2"/>
        <v>06/05</v>
      </c>
      <c r="J442" s="15" t="str">
        <f t="shared" si="3"/>
        <v>Après-midi</v>
      </c>
    </row>
    <row r="443" ht="14.25" customHeight="1">
      <c r="A443" s="17">
        <v>46148.0</v>
      </c>
      <c r="B443" s="18" t="s">
        <v>54</v>
      </c>
      <c r="C443" s="18" t="s">
        <v>24</v>
      </c>
      <c r="D443" s="19">
        <v>0.7</v>
      </c>
      <c r="E443" s="19">
        <v>0.815972222222222</v>
      </c>
      <c r="F443" s="12" t="str">
        <f t="shared" si="1"/>
        <v>167</v>
      </c>
      <c r="G443" s="18" t="s">
        <v>23</v>
      </c>
      <c r="H443" s="12" t="str">
        <f t="shared" si="4"/>
        <v/>
      </c>
      <c r="I443" s="14" t="str">
        <f t="shared" si="2"/>
        <v>06/05</v>
      </c>
      <c r="J443" s="15" t="str">
        <f t="shared" si="3"/>
        <v>Après-midi</v>
      </c>
    </row>
    <row r="444" ht="14.25" customHeight="1">
      <c r="A444" s="17">
        <v>46148.0</v>
      </c>
      <c r="B444" s="18" t="s">
        <v>54</v>
      </c>
      <c r="C444" s="18" t="s">
        <v>24</v>
      </c>
      <c r="D444" s="19">
        <v>0.833333333333333</v>
      </c>
      <c r="E444" s="19">
        <v>0.9</v>
      </c>
      <c r="F444" s="12" t="str">
        <f t="shared" si="1"/>
        <v>96</v>
      </c>
      <c r="G444" s="18" t="s">
        <v>23</v>
      </c>
      <c r="H444" s="12" t="str">
        <f t="shared" si="4"/>
        <v/>
      </c>
      <c r="I444" s="14" t="str">
        <f t="shared" si="2"/>
        <v>06/05</v>
      </c>
      <c r="J444" s="15" t="str">
        <f t="shared" si="3"/>
        <v>Après-midi</v>
      </c>
    </row>
    <row r="445" ht="14.25" customHeight="1">
      <c r="A445" s="17">
        <v>46149.0</v>
      </c>
      <c r="B445" s="18" t="s">
        <v>66</v>
      </c>
      <c r="C445" s="18" t="s">
        <v>24</v>
      </c>
      <c r="D445" s="19">
        <v>0.270833333333333</v>
      </c>
      <c r="E445" s="19">
        <v>0.388888888888889</v>
      </c>
      <c r="F445" s="12" t="str">
        <f t="shared" si="1"/>
        <v>170</v>
      </c>
      <c r="G445" s="18" t="s">
        <v>23</v>
      </c>
      <c r="H445" s="12" t="str">
        <f t="shared" si="4"/>
        <v>534</v>
      </c>
      <c r="I445" s="14" t="str">
        <f t="shared" si="2"/>
        <v>07/05</v>
      </c>
      <c r="J445" s="15" t="str">
        <f t="shared" si="3"/>
        <v>Matin</v>
      </c>
    </row>
    <row r="446" ht="14.25" customHeight="1">
      <c r="A446" s="17">
        <v>46149.0</v>
      </c>
      <c r="B446" s="18" t="s">
        <v>66</v>
      </c>
      <c r="C446" s="18" t="s">
        <v>24</v>
      </c>
      <c r="D446" s="19">
        <v>0.395833333333333</v>
      </c>
      <c r="E446" s="19">
        <v>0.416666666666667</v>
      </c>
      <c r="F446" s="12" t="str">
        <f t="shared" si="1"/>
        <v>30</v>
      </c>
      <c r="G446" s="18" t="s">
        <v>32</v>
      </c>
      <c r="H446" s="12" t="str">
        <f t="shared" si="4"/>
        <v/>
      </c>
      <c r="I446" s="14" t="str">
        <f t="shared" si="2"/>
        <v>07/05</v>
      </c>
      <c r="J446" s="15" t="str">
        <f t="shared" si="3"/>
        <v>Matin</v>
      </c>
    </row>
    <row r="447" ht="14.25" customHeight="1">
      <c r="A447" s="17">
        <v>46149.0</v>
      </c>
      <c r="B447" s="18" t="s">
        <v>66</v>
      </c>
      <c r="C447" s="18" t="s">
        <v>24</v>
      </c>
      <c r="D447" s="19">
        <v>0.458333333333333</v>
      </c>
      <c r="E447" s="19">
        <v>0.506944444444444</v>
      </c>
      <c r="F447" s="12" t="str">
        <f t="shared" si="1"/>
        <v>70</v>
      </c>
      <c r="G447" s="18" t="s">
        <v>32</v>
      </c>
      <c r="H447" s="12" t="str">
        <f t="shared" si="4"/>
        <v/>
      </c>
      <c r="I447" s="14" t="str">
        <f t="shared" si="2"/>
        <v>07/05</v>
      </c>
      <c r="J447" s="15" t="str">
        <f t="shared" si="3"/>
        <v>Matin</v>
      </c>
    </row>
    <row r="448" ht="14.25" customHeight="1">
      <c r="A448" s="17">
        <v>46149.0</v>
      </c>
      <c r="B448" s="18" t="s">
        <v>54</v>
      </c>
      <c r="C448" s="18" t="s">
        <v>24</v>
      </c>
      <c r="D448" s="19">
        <v>0.513888888888889</v>
      </c>
      <c r="E448" s="19">
        <v>0.604861111111111</v>
      </c>
      <c r="F448" s="12" t="str">
        <f t="shared" si="1"/>
        <v>131</v>
      </c>
      <c r="G448" s="18" t="s">
        <v>23</v>
      </c>
      <c r="H448" s="12" t="str">
        <f t="shared" si="4"/>
        <v>10</v>
      </c>
      <c r="I448" s="14" t="str">
        <f t="shared" si="2"/>
        <v>07/05</v>
      </c>
      <c r="J448" s="15" t="str">
        <f t="shared" si="3"/>
        <v>Matin</v>
      </c>
    </row>
    <row r="449" ht="14.25" customHeight="1">
      <c r="A449" s="17">
        <v>46149.0</v>
      </c>
      <c r="B449" s="18" t="s">
        <v>54</v>
      </c>
      <c r="C449" s="18" t="s">
        <v>24</v>
      </c>
      <c r="D449" s="19">
        <v>0.631944444444444</v>
      </c>
      <c r="E449" s="19">
        <v>0.6875</v>
      </c>
      <c r="F449" s="12" t="str">
        <f t="shared" si="1"/>
        <v>80</v>
      </c>
      <c r="G449" s="18" t="s">
        <v>65</v>
      </c>
      <c r="H449" s="12" t="str">
        <f t="shared" si="4"/>
        <v/>
      </c>
      <c r="I449" s="14" t="str">
        <f t="shared" si="2"/>
        <v>07/05</v>
      </c>
      <c r="J449" s="15" t="str">
        <f t="shared" si="3"/>
        <v>Après-midi</v>
      </c>
    </row>
    <row r="450" ht="14.25" customHeight="1">
      <c r="A450" s="17">
        <v>46149.0</v>
      </c>
      <c r="B450" s="18" t="s">
        <v>54</v>
      </c>
      <c r="C450" s="18" t="s">
        <v>24</v>
      </c>
      <c r="D450" s="19">
        <v>0.708333333333333</v>
      </c>
      <c r="E450" s="19">
        <v>0.719444444444444</v>
      </c>
      <c r="F450" s="12" t="str">
        <f t="shared" si="1"/>
        <v>16</v>
      </c>
      <c r="G450" s="18" t="s">
        <v>23</v>
      </c>
      <c r="H450" s="12" t="str">
        <f t="shared" si="4"/>
        <v/>
      </c>
      <c r="I450" s="14" t="str">
        <f t="shared" si="2"/>
        <v>07/05</v>
      </c>
      <c r="J450" s="15" t="str">
        <f t="shared" si="3"/>
        <v>Après-midi</v>
      </c>
    </row>
    <row r="451" ht="14.25" customHeight="1">
      <c r="A451" s="17">
        <v>46149.0</v>
      </c>
      <c r="B451" s="18" t="s">
        <v>54</v>
      </c>
      <c r="C451" s="18" t="s">
        <v>24</v>
      </c>
      <c r="D451" s="19">
        <v>0.750694444444444</v>
      </c>
      <c r="E451" s="19">
        <v>0.851388888888889</v>
      </c>
      <c r="F451" s="12" t="str">
        <f t="shared" si="1"/>
        <v>145</v>
      </c>
      <c r="G451" s="18" t="s">
        <v>23</v>
      </c>
      <c r="H451" s="12" t="str">
        <f t="shared" si="4"/>
        <v/>
      </c>
      <c r="I451" s="14" t="str">
        <f t="shared" si="2"/>
        <v>07/05</v>
      </c>
      <c r="J451" s="15" t="str">
        <f t="shared" si="3"/>
        <v>Après-midi</v>
      </c>
    </row>
    <row r="452" ht="14.25" customHeight="1">
      <c r="A452" s="17">
        <v>46149.0</v>
      </c>
      <c r="B452" s="18" t="s">
        <v>54</v>
      </c>
      <c r="C452" s="18" t="s">
        <v>24</v>
      </c>
      <c r="D452" s="19">
        <v>0.857638888888889</v>
      </c>
      <c r="E452" s="19">
        <v>0.9125</v>
      </c>
      <c r="F452" s="12" t="str">
        <f t="shared" si="1"/>
        <v>79</v>
      </c>
      <c r="G452" s="18" t="s">
        <v>23</v>
      </c>
      <c r="H452" s="12" t="str">
        <f t="shared" si="4"/>
        <v/>
      </c>
      <c r="I452" s="14" t="str">
        <f t="shared" si="2"/>
        <v>07/05</v>
      </c>
      <c r="J452" s="15" t="str">
        <f t="shared" si="3"/>
        <v>Après-midi</v>
      </c>
    </row>
    <row r="453" ht="14.25" customHeight="1">
      <c r="A453" s="17">
        <v>46150.0</v>
      </c>
      <c r="B453" s="18" t="s">
        <v>54</v>
      </c>
      <c r="C453" s="18" t="s">
        <v>24</v>
      </c>
      <c r="D453" s="19">
        <v>0.590277777777778</v>
      </c>
      <c r="E453" s="19">
        <v>0.638888888888889</v>
      </c>
      <c r="F453" s="12" t="str">
        <f t="shared" si="1"/>
        <v>70</v>
      </c>
      <c r="G453" s="18" t="s">
        <v>23</v>
      </c>
      <c r="H453" s="12" t="str">
        <f t="shared" si="4"/>
        <v/>
      </c>
      <c r="I453" s="14" t="str">
        <f t="shared" si="2"/>
        <v>08/05</v>
      </c>
      <c r="J453" s="15" t="str">
        <f t="shared" si="3"/>
        <v>Après-midi</v>
      </c>
    </row>
    <row r="454" ht="14.25" customHeight="1">
      <c r="A454" s="17">
        <v>46150.0</v>
      </c>
      <c r="B454" s="18" t="s">
        <v>54</v>
      </c>
      <c r="C454" s="18" t="s">
        <v>24</v>
      </c>
      <c r="D454" s="19">
        <v>0.645833333333333</v>
      </c>
      <c r="E454" s="19">
        <v>0.740277777777778</v>
      </c>
      <c r="F454" s="12" t="str">
        <f t="shared" si="1"/>
        <v>136</v>
      </c>
      <c r="G454" s="18" t="s">
        <v>23</v>
      </c>
      <c r="H454" s="12" t="str">
        <f t="shared" si="4"/>
        <v/>
      </c>
      <c r="I454" s="14" t="str">
        <f t="shared" si="2"/>
        <v>08/05</v>
      </c>
      <c r="J454" s="15" t="str">
        <f t="shared" si="3"/>
        <v>Après-midi</v>
      </c>
    </row>
    <row r="455" ht="14.25" customHeight="1">
      <c r="A455" s="17">
        <v>46150.0</v>
      </c>
      <c r="B455" s="18" t="s">
        <v>54</v>
      </c>
      <c r="C455" s="18" t="s">
        <v>24</v>
      </c>
      <c r="D455" s="19">
        <v>0.768055555555556</v>
      </c>
      <c r="E455" s="19">
        <v>0.872222222222222</v>
      </c>
      <c r="F455" s="12" t="str">
        <f t="shared" si="1"/>
        <v>150</v>
      </c>
      <c r="G455" s="18" t="s">
        <v>23</v>
      </c>
      <c r="H455" s="12" t="str">
        <f t="shared" si="4"/>
        <v/>
      </c>
      <c r="I455" s="14" t="str">
        <f t="shared" si="2"/>
        <v>08/05</v>
      </c>
      <c r="J455" s="15" t="str">
        <f t="shared" si="3"/>
        <v>Après-midi</v>
      </c>
    </row>
    <row r="456" ht="14.25" customHeight="1">
      <c r="A456" s="17">
        <v>46150.0</v>
      </c>
      <c r="B456" s="18" t="s">
        <v>54</v>
      </c>
      <c r="C456" s="18" t="s">
        <v>24</v>
      </c>
      <c r="D456" s="19">
        <v>0.881944444444444</v>
      </c>
      <c r="E456" s="19">
        <v>0.916666666666667</v>
      </c>
      <c r="F456" s="12" t="str">
        <f t="shared" si="1"/>
        <v>50</v>
      </c>
      <c r="G456" s="18" t="s">
        <v>23</v>
      </c>
      <c r="H456" s="12" t="str">
        <f t="shared" si="4"/>
        <v/>
      </c>
      <c r="I456" s="14" t="str">
        <f t="shared" si="2"/>
        <v>08/05</v>
      </c>
      <c r="J456" s="15" t="str">
        <f t="shared" si="3"/>
        <v>Après-midi</v>
      </c>
    </row>
    <row r="457" ht="14.25" customHeight="1">
      <c r="A457" s="17">
        <v>46151.0</v>
      </c>
      <c r="B457" s="18" t="s">
        <v>66</v>
      </c>
      <c r="C457" s="18" t="s">
        <v>24</v>
      </c>
      <c r="D457" s="19">
        <v>0.25</v>
      </c>
      <c r="E457" s="19">
        <v>0.333333333333333</v>
      </c>
      <c r="F457" s="12" t="str">
        <f t="shared" si="1"/>
        <v>120</v>
      </c>
      <c r="G457" s="18" t="s">
        <v>23</v>
      </c>
      <c r="H457" s="12" t="str">
        <f t="shared" si="4"/>
        <v>480</v>
      </c>
      <c r="I457" s="14" t="str">
        <f t="shared" si="2"/>
        <v>09/05</v>
      </c>
      <c r="J457" s="15" t="str">
        <f t="shared" si="3"/>
        <v>Matin</v>
      </c>
    </row>
    <row r="458" ht="14.25" customHeight="1">
      <c r="A458" s="17">
        <v>46151.0</v>
      </c>
      <c r="B458" s="18" t="s">
        <v>66</v>
      </c>
      <c r="C458" s="18" t="s">
        <v>24</v>
      </c>
      <c r="D458" s="19">
        <v>0.340277777777778</v>
      </c>
      <c r="E458" s="19">
        <v>0.4375</v>
      </c>
      <c r="F458" s="12" t="str">
        <f t="shared" si="1"/>
        <v>140</v>
      </c>
      <c r="G458" s="18" t="s">
        <v>23</v>
      </c>
      <c r="H458" s="12" t="str">
        <f t="shared" si="4"/>
        <v/>
      </c>
      <c r="I458" s="14" t="str">
        <f t="shared" si="2"/>
        <v>09/05</v>
      </c>
      <c r="J458" s="15" t="str">
        <f t="shared" si="3"/>
        <v>Matin</v>
      </c>
    </row>
    <row r="459" ht="14.25" customHeight="1">
      <c r="A459" s="17">
        <v>46151.0</v>
      </c>
      <c r="B459" s="18" t="s">
        <v>66</v>
      </c>
      <c r="C459" s="18" t="s">
        <v>24</v>
      </c>
      <c r="D459" s="19">
        <v>0.458333333333333</v>
      </c>
      <c r="E459" s="19">
        <v>0.569444444444444</v>
      </c>
      <c r="F459" s="12" t="str">
        <f t="shared" si="1"/>
        <v>160</v>
      </c>
      <c r="G459" s="18" t="s">
        <v>23</v>
      </c>
      <c r="H459" s="12" t="str">
        <f t="shared" si="4"/>
        <v/>
      </c>
      <c r="I459" s="14" t="str">
        <f t="shared" si="2"/>
        <v>09/05</v>
      </c>
      <c r="J459" s="15" t="str">
        <f t="shared" si="3"/>
        <v>Matin</v>
      </c>
    </row>
    <row r="460" ht="14.25" customHeight="1">
      <c r="A460" s="17">
        <v>46151.0</v>
      </c>
      <c r="B460" s="18" t="s">
        <v>54</v>
      </c>
      <c r="C460" s="18" t="s">
        <v>24</v>
      </c>
      <c r="D460" s="19">
        <v>0.59375</v>
      </c>
      <c r="E460" s="19">
        <v>0.702777777777778</v>
      </c>
      <c r="F460" s="12" t="str">
        <f t="shared" si="1"/>
        <v>157</v>
      </c>
      <c r="G460" s="18" t="s">
        <v>23</v>
      </c>
      <c r="H460" s="12" t="str">
        <f t="shared" si="4"/>
        <v>35</v>
      </c>
      <c r="I460" s="14" t="str">
        <f t="shared" si="2"/>
        <v>09/05</v>
      </c>
      <c r="J460" s="15" t="str">
        <f t="shared" si="3"/>
        <v>Après-midi</v>
      </c>
    </row>
    <row r="461" ht="14.25" customHeight="1">
      <c r="A461" s="17">
        <v>46151.0</v>
      </c>
      <c r="B461" s="18" t="s">
        <v>54</v>
      </c>
      <c r="C461" s="18" t="s">
        <v>24</v>
      </c>
      <c r="D461" s="19">
        <v>0.729166666666667</v>
      </c>
      <c r="E461" s="19">
        <v>0.854166666666667</v>
      </c>
      <c r="F461" s="12" t="str">
        <f t="shared" si="1"/>
        <v>180</v>
      </c>
      <c r="G461" s="18" t="s">
        <v>23</v>
      </c>
      <c r="H461" s="12" t="str">
        <f t="shared" si="4"/>
        <v/>
      </c>
      <c r="I461" s="14" t="str">
        <f t="shared" si="2"/>
        <v>09/05</v>
      </c>
      <c r="J461" s="15" t="str">
        <f t="shared" si="3"/>
        <v>Après-midi</v>
      </c>
    </row>
    <row r="462" ht="14.25" customHeight="1">
      <c r="A462" s="17">
        <v>46151.0</v>
      </c>
      <c r="B462" s="18" t="s">
        <v>54</v>
      </c>
      <c r="C462" s="18" t="s">
        <v>24</v>
      </c>
      <c r="D462" s="19">
        <v>0.864583333333333</v>
      </c>
      <c r="E462" s="19">
        <v>0.908333333333333</v>
      </c>
      <c r="F462" s="12" t="str">
        <f t="shared" si="1"/>
        <v>63</v>
      </c>
      <c r="G462" s="18" t="s">
        <v>23</v>
      </c>
      <c r="H462" s="12" t="str">
        <f t="shared" si="4"/>
        <v/>
      </c>
      <c r="I462" s="14" t="str">
        <f t="shared" si="2"/>
        <v>09/05</v>
      </c>
      <c r="J462" s="15" t="str">
        <f t="shared" si="3"/>
        <v>Après-midi</v>
      </c>
    </row>
    <row r="463" ht="14.25" customHeight="1">
      <c r="A463" s="17">
        <v>46152.0</v>
      </c>
      <c r="B463" s="18" t="s">
        <v>54</v>
      </c>
      <c r="C463" s="18" t="s">
        <v>24</v>
      </c>
      <c r="D463" s="19">
        <v>0.25</v>
      </c>
      <c r="E463" s="19">
        <v>0.340277777777778</v>
      </c>
      <c r="F463" s="12" t="str">
        <f t="shared" si="1"/>
        <v>130</v>
      </c>
      <c r="G463" s="18" t="s">
        <v>23</v>
      </c>
      <c r="H463" s="12" t="str">
        <f t="shared" si="4"/>
        <v/>
      </c>
      <c r="I463" s="14" t="str">
        <f t="shared" si="2"/>
        <v>10/05</v>
      </c>
      <c r="J463" s="15" t="str">
        <f t="shared" si="3"/>
        <v>Matin</v>
      </c>
    </row>
    <row r="464" ht="14.25" customHeight="1">
      <c r="A464" s="17">
        <v>46152.0</v>
      </c>
      <c r="B464" s="18" t="s">
        <v>54</v>
      </c>
      <c r="C464" s="18" t="s">
        <v>24</v>
      </c>
      <c r="D464" s="19">
        <v>0.352777777777778</v>
      </c>
      <c r="E464" s="19">
        <v>0.440972222222222</v>
      </c>
      <c r="F464" s="12" t="str">
        <f t="shared" si="1"/>
        <v>127</v>
      </c>
      <c r="G464" s="18" t="s">
        <v>23</v>
      </c>
      <c r="H464" s="12" t="str">
        <f t="shared" si="4"/>
        <v/>
      </c>
      <c r="I464" s="14" t="str">
        <f t="shared" si="2"/>
        <v>10/05</v>
      </c>
      <c r="J464" s="15" t="str">
        <f t="shared" si="3"/>
        <v>Matin</v>
      </c>
    </row>
    <row r="465" ht="14.25" customHeight="1">
      <c r="A465" s="17">
        <v>46152.0</v>
      </c>
      <c r="B465" s="18" t="s">
        <v>54</v>
      </c>
      <c r="C465" s="18" t="s">
        <v>24</v>
      </c>
      <c r="D465" s="19">
        <v>0.444444444444444</v>
      </c>
      <c r="E465" s="19">
        <v>0.527777777777778</v>
      </c>
      <c r="F465" s="12" t="str">
        <f t="shared" si="1"/>
        <v>120</v>
      </c>
      <c r="G465" s="18" t="s">
        <v>23</v>
      </c>
      <c r="H465" s="12" t="str">
        <f t="shared" si="4"/>
        <v/>
      </c>
      <c r="I465" s="14" t="str">
        <f t="shared" si="2"/>
        <v>10/05</v>
      </c>
      <c r="J465" s="15" t="str">
        <f t="shared" si="3"/>
        <v>Matin</v>
      </c>
    </row>
    <row r="466" ht="14.25" customHeight="1">
      <c r="A466" s="17">
        <v>46152.0</v>
      </c>
      <c r="B466" s="18" t="s">
        <v>54</v>
      </c>
      <c r="C466" s="18" t="s">
        <v>24</v>
      </c>
      <c r="D466" s="19">
        <v>0.534722222222222</v>
      </c>
      <c r="E466" s="19">
        <v>0.555555555555556</v>
      </c>
      <c r="F466" s="12" t="str">
        <f t="shared" si="1"/>
        <v>30</v>
      </c>
      <c r="G466" s="18" t="s">
        <v>65</v>
      </c>
      <c r="H466" s="12" t="str">
        <f t="shared" si="4"/>
        <v/>
      </c>
      <c r="I466" s="14" t="str">
        <f t="shared" si="2"/>
        <v>10/05</v>
      </c>
      <c r="J466" s="15" t="str">
        <f t="shared" si="3"/>
        <v>Matin</v>
      </c>
    </row>
    <row r="467" ht="14.25" customHeight="1">
      <c r="A467" s="17">
        <v>46152.0</v>
      </c>
      <c r="B467" s="18" t="s">
        <v>54</v>
      </c>
      <c r="C467" s="18" t="s">
        <v>24</v>
      </c>
      <c r="D467" s="19">
        <v>0.582638888888889</v>
      </c>
      <c r="E467" s="19">
        <v>0.583333333333333</v>
      </c>
      <c r="F467" s="12" t="str">
        <f t="shared" si="1"/>
        <v>1</v>
      </c>
      <c r="G467" s="18" t="s">
        <v>23</v>
      </c>
      <c r="H467" s="12" t="str">
        <f t="shared" si="4"/>
        <v/>
      </c>
      <c r="I467" s="14" t="str">
        <f t="shared" si="2"/>
        <v>10/05</v>
      </c>
      <c r="J467" s="15" t="str">
        <f t="shared" si="3"/>
        <v>Matin</v>
      </c>
    </row>
    <row r="468" ht="14.25" customHeight="1">
      <c r="A468" s="17">
        <v>46153.0</v>
      </c>
      <c r="B468" s="18" t="s">
        <v>54</v>
      </c>
      <c r="C468" s="18" t="s">
        <v>24</v>
      </c>
      <c r="D468" s="19">
        <v>0.260416666666667</v>
      </c>
      <c r="E468" s="19">
        <v>0.338888888888889</v>
      </c>
      <c r="F468" s="12" t="str">
        <f t="shared" si="1"/>
        <v>113</v>
      </c>
      <c r="G468" s="18" t="s">
        <v>23</v>
      </c>
      <c r="H468" s="12" t="str">
        <f t="shared" si="4"/>
        <v/>
      </c>
      <c r="I468" s="14" t="str">
        <f t="shared" si="2"/>
        <v>11/05</v>
      </c>
      <c r="J468" s="15" t="str">
        <f t="shared" si="3"/>
        <v>Matin</v>
      </c>
    </row>
    <row r="469" ht="14.25" customHeight="1">
      <c r="A469" s="17">
        <v>46153.0</v>
      </c>
      <c r="B469" s="18" t="s">
        <v>54</v>
      </c>
      <c r="C469" s="18" t="s">
        <v>24</v>
      </c>
      <c r="D469" s="19">
        <v>0.348611111111111</v>
      </c>
      <c r="E469" s="19">
        <v>0.447222222222222</v>
      </c>
      <c r="F469" s="12" t="str">
        <f t="shared" si="1"/>
        <v>142</v>
      </c>
      <c r="G469" s="18" t="s">
        <v>23</v>
      </c>
      <c r="H469" s="12" t="str">
        <f t="shared" si="4"/>
        <v/>
      </c>
      <c r="I469" s="14" t="str">
        <f t="shared" si="2"/>
        <v>11/05</v>
      </c>
      <c r="J469" s="15" t="str">
        <f t="shared" si="3"/>
        <v>Matin</v>
      </c>
    </row>
    <row r="470" ht="14.25" customHeight="1">
      <c r="A470" s="17">
        <v>46153.0</v>
      </c>
      <c r="B470" s="18" t="s">
        <v>54</v>
      </c>
      <c r="C470" s="18" t="s">
        <v>24</v>
      </c>
      <c r="D470" s="19">
        <v>0.479166666666667</v>
      </c>
      <c r="E470" s="19">
        <v>0.534722222222222</v>
      </c>
      <c r="F470" s="12" t="str">
        <f t="shared" si="1"/>
        <v>80</v>
      </c>
      <c r="G470" s="18" t="s">
        <v>23</v>
      </c>
      <c r="H470" s="12" t="str">
        <f t="shared" si="4"/>
        <v/>
      </c>
      <c r="I470" s="14" t="str">
        <f t="shared" si="2"/>
        <v>11/05</v>
      </c>
      <c r="J470" s="15" t="str">
        <f t="shared" si="3"/>
        <v>Matin</v>
      </c>
    </row>
    <row r="471" ht="14.25" customHeight="1">
      <c r="A471" s="17">
        <v>46154.0</v>
      </c>
      <c r="B471" s="18" t="s">
        <v>54</v>
      </c>
      <c r="C471" s="18" t="s">
        <v>24</v>
      </c>
      <c r="D471" s="19">
        <v>0.260416666666667</v>
      </c>
      <c r="E471" s="19">
        <v>0.336805555555556</v>
      </c>
      <c r="F471" s="12" t="str">
        <f t="shared" si="1"/>
        <v>110</v>
      </c>
      <c r="G471" s="18" t="s">
        <v>23</v>
      </c>
      <c r="H471" s="12" t="str">
        <f t="shared" si="4"/>
        <v/>
      </c>
      <c r="I471" s="14" t="str">
        <f t="shared" si="2"/>
        <v>12/05</v>
      </c>
      <c r="J471" s="15" t="str">
        <f t="shared" si="3"/>
        <v>Matin</v>
      </c>
    </row>
    <row r="472" ht="14.25" customHeight="1">
      <c r="A472" s="17">
        <v>46154.0</v>
      </c>
      <c r="B472" s="18" t="s">
        <v>54</v>
      </c>
      <c r="C472" s="18" t="s">
        <v>24</v>
      </c>
      <c r="D472" s="19">
        <v>0.348611111111111</v>
      </c>
      <c r="E472" s="19">
        <v>0.463888888888889</v>
      </c>
      <c r="F472" s="12" t="str">
        <f t="shared" si="1"/>
        <v>166</v>
      </c>
      <c r="G472" s="18" t="s">
        <v>23</v>
      </c>
      <c r="H472" s="12" t="str">
        <f t="shared" si="4"/>
        <v/>
      </c>
      <c r="I472" s="14" t="str">
        <f t="shared" si="2"/>
        <v>12/05</v>
      </c>
      <c r="J472" s="15" t="str">
        <f t="shared" si="3"/>
        <v>Matin</v>
      </c>
    </row>
    <row r="473" ht="14.25" customHeight="1">
      <c r="A473" s="17">
        <v>46154.0</v>
      </c>
      <c r="B473" s="18" t="s">
        <v>54</v>
      </c>
      <c r="C473" s="18" t="s">
        <v>24</v>
      </c>
      <c r="D473" s="19">
        <v>0.470833333333333</v>
      </c>
      <c r="E473" s="19">
        <v>0.525694444444445</v>
      </c>
      <c r="F473" s="12" t="str">
        <f t="shared" si="1"/>
        <v>79</v>
      </c>
      <c r="G473" s="18" t="s">
        <v>23</v>
      </c>
      <c r="H473" s="12" t="str">
        <f t="shared" si="4"/>
        <v/>
      </c>
      <c r="I473" s="14" t="str">
        <f t="shared" si="2"/>
        <v>12/05</v>
      </c>
      <c r="J473" s="15" t="str">
        <f t="shared" si="3"/>
        <v>Matin</v>
      </c>
    </row>
    <row r="474" ht="14.25" customHeight="1">
      <c r="A474" s="17">
        <v>46154.0</v>
      </c>
      <c r="B474" s="18" t="s">
        <v>54</v>
      </c>
      <c r="C474" s="18" t="s">
        <v>24</v>
      </c>
      <c r="D474" s="19">
        <v>0.543055555555556</v>
      </c>
      <c r="E474" s="19">
        <v>0.583333333333333</v>
      </c>
      <c r="F474" s="12" t="str">
        <f t="shared" si="1"/>
        <v>58</v>
      </c>
      <c r="G474" s="18" t="s">
        <v>23</v>
      </c>
      <c r="H474" s="12" t="str">
        <f t="shared" si="4"/>
        <v/>
      </c>
      <c r="I474" s="14" t="str">
        <f t="shared" si="2"/>
        <v>12/05</v>
      </c>
      <c r="J474" s="15" t="str">
        <f t="shared" si="3"/>
        <v>Matin</v>
      </c>
    </row>
    <row r="475" ht="14.25" customHeight="1">
      <c r="A475" s="17">
        <v>46155.0</v>
      </c>
      <c r="B475" s="18" t="s">
        <v>54</v>
      </c>
      <c r="C475" s="18" t="s">
        <v>24</v>
      </c>
      <c r="D475" s="19">
        <v>0.260416666666667</v>
      </c>
      <c r="E475" s="19">
        <v>0.333333333333333</v>
      </c>
      <c r="F475" s="12" t="str">
        <f t="shared" si="1"/>
        <v>105</v>
      </c>
      <c r="G475" s="18" t="s">
        <v>23</v>
      </c>
      <c r="H475" s="12" t="str">
        <f t="shared" si="4"/>
        <v/>
      </c>
      <c r="I475" s="14" t="str">
        <f t="shared" si="2"/>
        <v>13/05</v>
      </c>
      <c r="J475" s="15" t="str">
        <f t="shared" si="3"/>
        <v>Matin</v>
      </c>
    </row>
    <row r="476" ht="14.25" customHeight="1">
      <c r="A476" s="17">
        <v>46155.0</v>
      </c>
      <c r="B476" s="18" t="s">
        <v>54</v>
      </c>
      <c r="C476" s="18" t="s">
        <v>24</v>
      </c>
      <c r="D476" s="19">
        <v>0.357638888888889</v>
      </c>
      <c r="E476" s="19">
        <v>0.472222222222222</v>
      </c>
      <c r="F476" s="12" t="str">
        <f t="shared" si="1"/>
        <v>165</v>
      </c>
      <c r="G476" s="18" t="s">
        <v>23</v>
      </c>
      <c r="H476" s="12" t="str">
        <f t="shared" si="4"/>
        <v/>
      </c>
      <c r="I476" s="14" t="str">
        <f t="shared" si="2"/>
        <v>13/05</v>
      </c>
      <c r="J476" s="15" t="str">
        <f t="shared" si="3"/>
        <v>Matin</v>
      </c>
    </row>
    <row r="477" ht="14.25" customHeight="1">
      <c r="A477" s="17">
        <v>46155.0</v>
      </c>
      <c r="B477" s="18" t="s">
        <v>54</v>
      </c>
      <c r="C477" s="18" t="s">
        <v>24</v>
      </c>
      <c r="D477" s="19">
        <v>0.490277777777778</v>
      </c>
      <c r="E477" s="19">
        <v>0.495833333333333</v>
      </c>
      <c r="F477" s="12" t="str">
        <f t="shared" si="1"/>
        <v>8</v>
      </c>
      <c r="G477" s="18" t="s">
        <v>65</v>
      </c>
      <c r="H477" s="12" t="str">
        <f t="shared" si="4"/>
        <v/>
      </c>
      <c r="I477" s="14" t="str">
        <f t="shared" si="2"/>
        <v>13/05</v>
      </c>
      <c r="J477" s="15" t="str">
        <f t="shared" si="3"/>
        <v>Matin</v>
      </c>
    </row>
    <row r="478" ht="14.25" customHeight="1">
      <c r="A478" s="17">
        <v>46155.0</v>
      </c>
      <c r="B478" s="18" t="s">
        <v>54</v>
      </c>
      <c r="C478" s="18" t="s">
        <v>24</v>
      </c>
      <c r="D478" s="19">
        <v>0.50625</v>
      </c>
      <c r="E478" s="19">
        <v>0.58125</v>
      </c>
      <c r="F478" s="12" t="str">
        <f t="shared" si="1"/>
        <v>108</v>
      </c>
      <c r="G478" s="18" t="s">
        <v>23</v>
      </c>
      <c r="H478" s="12" t="str">
        <f t="shared" si="4"/>
        <v/>
      </c>
      <c r="I478" s="14" t="str">
        <f t="shared" si="2"/>
        <v>13/05</v>
      </c>
      <c r="J478" s="15" t="str">
        <f t="shared" si="3"/>
        <v>Matin</v>
      </c>
    </row>
    <row r="479" ht="14.25" customHeight="1">
      <c r="A479" s="17">
        <v>46156.0</v>
      </c>
      <c r="B479" s="18" t="s">
        <v>54</v>
      </c>
      <c r="C479" s="18" t="s">
        <v>24</v>
      </c>
      <c r="D479" s="19">
        <v>0.256944444444444</v>
      </c>
      <c r="E479" s="19">
        <v>0.340972222222222</v>
      </c>
      <c r="F479" s="12" t="str">
        <f t="shared" si="1"/>
        <v>121</v>
      </c>
      <c r="G479" s="18" t="s">
        <v>23</v>
      </c>
      <c r="H479" s="12" t="str">
        <f t="shared" si="4"/>
        <v/>
      </c>
      <c r="I479" s="14" t="str">
        <f t="shared" si="2"/>
        <v>14/05</v>
      </c>
      <c r="J479" s="15" t="str">
        <f t="shared" si="3"/>
        <v>Matin</v>
      </c>
    </row>
    <row r="480" ht="14.25" customHeight="1">
      <c r="A480" s="17">
        <v>46156.0</v>
      </c>
      <c r="B480" s="18" t="s">
        <v>54</v>
      </c>
      <c r="C480" s="18" t="s">
        <v>24</v>
      </c>
      <c r="D480" s="19">
        <v>0.336805555555556</v>
      </c>
      <c r="E480" s="19">
        <v>0.463194444444445</v>
      </c>
      <c r="F480" s="12" t="str">
        <f t="shared" si="1"/>
        <v>182</v>
      </c>
      <c r="G480" s="18" t="s">
        <v>23</v>
      </c>
      <c r="H480" s="12" t="str">
        <f t="shared" si="4"/>
        <v/>
      </c>
      <c r="I480" s="14" t="str">
        <f t="shared" si="2"/>
        <v>14/05</v>
      </c>
      <c r="J480" s="15" t="str">
        <f t="shared" si="3"/>
        <v>Matin</v>
      </c>
    </row>
    <row r="481" ht="14.25" customHeight="1">
      <c r="A481" s="17">
        <v>46156.0</v>
      </c>
      <c r="B481" s="18" t="s">
        <v>54</v>
      </c>
      <c r="C481" s="18" t="s">
        <v>24</v>
      </c>
      <c r="D481" s="19">
        <v>0.4875</v>
      </c>
      <c r="E481" s="19">
        <v>0.497222222222222</v>
      </c>
      <c r="F481" s="12" t="str">
        <f t="shared" si="1"/>
        <v>14</v>
      </c>
      <c r="G481" s="18" t="s">
        <v>32</v>
      </c>
      <c r="H481" s="12" t="str">
        <f t="shared" si="4"/>
        <v/>
      </c>
      <c r="I481" s="14" t="str">
        <f t="shared" si="2"/>
        <v>14/05</v>
      </c>
      <c r="J481" s="15" t="str">
        <f t="shared" si="3"/>
        <v>Matin</v>
      </c>
    </row>
    <row r="482" ht="14.25" customHeight="1">
      <c r="A482" s="17">
        <v>46156.0</v>
      </c>
      <c r="B482" s="18" t="s">
        <v>54</v>
      </c>
      <c r="C482" s="18" t="s">
        <v>24</v>
      </c>
      <c r="D482" s="19">
        <v>0.511111111111111</v>
      </c>
      <c r="E482" s="19">
        <v>0.583333333333333</v>
      </c>
      <c r="F482" s="12" t="str">
        <f t="shared" si="1"/>
        <v>104</v>
      </c>
      <c r="G482" s="18" t="s">
        <v>23</v>
      </c>
      <c r="H482" s="12" t="str">
        <f t="shared" si="4"/>
        <v/>
      </c>
      <c r="I482" s="14" t="str">
        <f t="shared" si="2"/>
        <v>14/05</v>
      </c>
      <c r="J482" s="15" t="str">
        <f t="shared" si="3"/>
        <v>Matin</v>
      </c>
    </row>
    <row r="483" ht="14.25" customHeight="1">
      <c r="A483" s="17">
        <v>46157.0</v>
      </c>
      <c r="B483" s="18" t="s">
        <v>54</v>
      </c>
      <c r="C483" s="18" t="s">
        <v>24</v>
      </c>
      <c r="D483" s="19">
        <v>0.260416666666667</v>
      </c>
      <c r="E483" s="19">
        <v>0.340277777777778</v>
      </c>
      <c r="F483" s="12" t="str">
        <f t="shared" si="1"/>
        <v>115</v>
      </c>
      <c r="G483" s="18" t="s">
        <v>23</v>
      </c>
      <c r="H483" s="12" t="str">
        <f t="shared" si="4"/>
        <v/>
      </c>
      <c r="I483" s="14" t="str">
        <f t="shared" si="2"/>
        <v>15/05</v>
      </c>
      <c r="J483" s="15" t="str">
        <f t="shared" si="3"/>
        <v>Matin</v>
      </c>
    </row>
    <row r="484" ht="14.25" customHeight="1">
      <c r="A484" s="17">
        <v>46157.0</v>
      </c>
      <c r="B484" s="18" t="s">
        <v>54</v>
      </c>
      <c r="C484" s="18" t="s">
        <v>24</v>
      </c>
      <c r="D484" s="19">
        <v>0.34375</v>
      </c>
      <c r="E484" s="19">
        <v>0.379861111111111</v>
      </c>
      <c r="F484" s="12" t="str">
        <f t="shared" si="1"/>
        <v>52</v>
      </c>
      <c r="G484" s="18" t="s">
        <v>23</v>
      </c>
      <c r="H484" s="12" t="str">
        <f t="shared" si="4"/>
        <v/>
      </c>
      <c r="I484" s="14" t="str">
        <f t="shared" si="2"/>
        <v>15/05</v>
      </c>
      <c r="J484" s="15" t="str">
        <f t="shared" si="3"/>
        <v>Matin</v>
      </c>
    </row>
    <row r="485" ht="14.25" customHeight="1">
      <c r="A485" s="17">
        <v>46157.0</v>
      </c>
      <c r="B485" s="18" t="s">
        <v>54</v>
      </c>
      <c r="C485" s="18" t="s">
        <v>24</v>
      </c>
      <c r="D485" s="19">
        <v>0.506944444444444</v>
      </c>
      <c r="E485" s="19">
        <v>0.516666666666667</v>
      </c>
      <c r="F485" s="12" t="str">
        <f t="shared" si="1"/>
        <v>14</v>
      </c>
      <c r="G485" s="18" t="s">
        <v>65</v>
      </c>
      <c r="H485" s="12" t="str">
        <f t="shared" si="4"/>
        <v/>
      </c>
      <c r="I485" s="14" t="str">
        <f t="shared" si="2"/>
        <v>15/05</v>
      </c>
      <c r="J485" s="15" t="str">
        <f t="shared" si="3"/>
        <v>Matin</v>
      </c>
    </row>
    <row r="486" ht="14.25" customHeight="1">
      <c r="A486" s="17">
        <v>46157.0</v>
      </c>
      <c r="B486" s="18" t="s">
        <v>54</v>
      </c>
      <c r="C486" s="18" t="s">
        <v>24</v>
      </c>
      <c r="D486" s="19">
        <v>0.541666666666667</v>
      </c>
      <c r="E486" s="19">
        <v>0.571527777777778</v>
      </c>
      <c r="F486" s="12" t="str">
        <f t="shared" si="1"/>
        <v>43</v>
      </c>
      <c r="G486" s="18" t="s">
        <v>65</v>
      </c>
      <c r="H486" s="12" t="str">
        <f t="shared" si="4"/>
        <v/>
      </c>
      <c r="I486" s="14" t="str">
        <f t="shared" si="2"/>
        <v>15/05</v>
      </c>
      <c r="J486" s="15" t="str">
        <f t="shared" si="3"/>
        <v>Matin</v>
      </c>
    </row>
    <row r="487" ht="14.25" customHeight="1">
      <c r="A487" s="17">
        <v>46158.0</v>
      </c>
      <c r="B487" s="18" t="s">
        <v>54</v>
      </c>
      <c r="C487" s="18" t="s">
        <v>24</v>
      </c>
      <c r="D487" s="19">
        <v>0.260416666666667</v>
      </c>
      <c r="E487" s="19">
        <v>0.345138888888889</v>
      </c>
      <c r="F487" s="12" t="str">
        <f t="shared" si="1"/>
        <v>122</v>
      </c>
      <c r="G487" s="18" t="s">
        <v>23</v>
      </c>
      <c r="H487" s="12" t="str">
        <f t="shared" si="4"/>
        <v/>
      </c>
      <c r="I487" s="14" t="str">
        <f t="shared" si="2"/>
        <v>16/05</v>
      </c>
      <c r="J487" s="15" t="str">
        <f t="shared" si="3"/>
        <v>Matin</v>
      </c>
    </row>
    <row r="488" ht="14.25" customHeight="1">
      <c r="A488" s="17">
        <v>46158.0</v>
      </c>
      <c r="B488" s="18" t="s">
        <v>54</v>
      </c>
      <c r="C488" s="18" t="s">
        <v>24</v>
      </c>
      <c r="D488" s="19">
        <v>0.368055555555556</v>
      </c>
      <c r="E488" s="19">
        <v>0.458333333333333</v>
      </c>
      <c r="F488" s="12" t="str">
        <f t="shared" si="1"/>
        <v>130</v>
      </c>
      <c r="G488" s="18" t="s">
        <v>84</v>
      </c>
      <c r="H488" s="12" t="str">
        <f t="shared" si="4"/>
        <v/>
      </c>
      <c r="I488" s="14" t="str">
        <f t="shared" si="2"/>
        <v>16/05</v>
      </c>
      <c r="J488" s="15" t="str">
        <f t="shared" si="3"/>
        <v>Matin</v>
      </c>
    </row>
    <row r="489" ht="14.25" customHeight="1">
      <c r="A489" s="17">
        <v>46158.0</v>
      </c>
      <c r="B489" s="18" t="s">
        <v>54</v>
      </c>
      <c r="C489" s="18" t="s">
        <v>24</v>
      </c>
      <c r="D489" s="19">
        <v>0.520833333333333</v>
      </c>
      <c r="E489" s="19">
        <v>0.557638888888889</v>
      </c>
      <c r="F489" s="12" t="str">
        <f t="shared" si="1"/>
        <v>53</v>
      </c>
      <c r="G489" s="18" t="s">
        <v>65</v>
      </c>
      <c r="H489" s="12" t="str">
        <f t="shared" si="4"/>
        <v/>
      </c>
      <c r="I489" s="14" t="str">
        <f t="shared" si="2"/>
        <v>16/05</v>
      </c>
      <c r="J489" s="15" t="str">
        <f t="shared" si="3"/>
        <v>Matin</v>
      </c>
    </row>
    <row r="490" ht="14.25" customHeight="1">
      <c r="A490" s="17">
        <v>46160.0</v>
      </c>
      <c r="B490" s="18" t="s">
        <v>54</v>
      </c>
      <c r="C490" s="18" t="s">
        <v>24</v>
      </c>
      <c r="D490" s="19">
        <v>0.609722222222222</v>
      </c>
      <c r="E490" s="19">
        <v>0.63125</v>
      </c>
      <c r="F490" s="12" t="str">
        <f t="shared" si="1"/>
        <v>31</v>
      </c>
      <c r="G490" s="18" t="s">
        <v>23</v>
      </c>
      <c r="H490" s="12" t="str">
        <f t="shared" si="4"/>
        <v/>
      </c>
      <c r="I490" s="14" t="str">
        <f t="shared" si="2"/>
        <v>18/05</v>
      </c>
      <c r="J490" s="15" t="str">
        <f t="shared" si="3"/>
        <v>Après-midi</v>
      </c>
    </row>
    <row r="491" ht="14.25" customHeight="1">
      <c r="A491" s="17">
        <v>46160.0</v>
      </c>
      <c r="B491" s="18" t="s">
        <v>54</v>
      </c>
      <c r="C491" s="18" t="s">
        <v>24</v>
      </c>
      <c r="D491" s="19">
        <v>0.6625</v>
      </c>
      <c r="E491" s="19">
        <v>0.733333333333333</v>
      </c>
      <c r="F491" s="12" t="str">
        <f t="shared" si="1"/>
        <v>102</v>
      </c>
      <c r="G491" s="18" t="s">
        <v>23</v>
      </c>
      <c r="H491" s="12" t="str">
        <f t="shared" si="4"/>
        <v/>
      </c>
      <c r="I491" s="14" t="str">
        <f t="shared" si="2"/>
        <v>18/05</v>
      </c>
      <c r="J491" s="15" t="str">
        <f t="shared" si="3"/>
        <v>Après-midi</v>
      </c>
    </row>
    <row r="492" ht="14.25" customHeight="1">
      <c r="A492" s="17">
        <v>46160.0</v>
      </c>
      <c r="B492" s="18" t="s">
        <v>54</v>
      </c>
      <c r="C492" s="18" t="s">
        <v>24</v>
      </c>
      <c r="D492" s="19">
        <v>0.761111111111111</v>
      </c>
      <c r="E492" s="19">
        <v>0.840972222222222</v>
      </c>
      <c r="F492" s="12" t="str">
        <f t="shared" si="1"/>
        <v>115</v>
      </c>
      <c r="G492" s="18" t="s">
        <v>23</v>
      </c>
      <c r="H492" s="12" t="str">
        <f t="shared" si="4"/>
        <v/>
      </c>
      <c r="I492" s="14" t="str">
        <f t="shared" si="2"/>
        <v>18/05</v>
      </c>
      <c r="J492" s="15" t="str">
        <f t="shared" si="3"/>
        <v>Après-midi</v>
      </c>
    </row>
    <row r="493" ht="14.25" customHeight="1">
      <c r="A493" s="17">
        <v>46160.0</v>
      </c>
      <c r="B493" s="18" t="s">
        <v>54</v>
      </c>
      <c r="C493" s="18" t="s">
        <v>24</v>
      </c>
      <c r="D493" s="19">
        <v>0.845138888888889</v>
      </c>
      <c r="E493" s="19">
        <v>0.911111111111111</v>
      </c>
      <c r="F493" s="12" t="str">
        <f t="shared" si="1"/>
        <v>95</v>
      </c>
      <c r="G493" s="18" t="s">
        <v>23</v>
      </c>
      <c r="H493" s="12" t="str">
        <f t="shared" si="4"/>
        <v/>
      </c>
      <c r="I493" s="14" t="str">
        <f t="shared" si="2"/>
        <v>18/05</v>
      </c>
      <c r="J493" s="15" t="str">
        <f t="shared" si="3"/>
        <v>Après-midi</v>
      </c>
    </row>
    <row r="494" ht="14.25" customHeight="1">
      <c r="A494" s="17">
        <v>46161.0</v>
      </c>
      <c r="B494" s="18" t="s">
        <v>54</v>
      </c>
      <c r="C494" s="18" t="s">
        <v>24</v>
      </c>
      <c r="D494" s="19">
        <v>0.590972222222222</v>
      </c>
      <c r="E494" s="19">
        <v>0.63125</v>
      </c>
      <c r="F494" s="12" t="str">
        <f t="shared" si="1"/>
        <v>58</v>
      </c>
      <c r="G494" s="18" t="s">
        <v>65</v>
      </c>
      <c r="H494" s="12" t="str">
        <f t="shared" si="4"/>
        <v/>
      </c>
      <c r="I494" s="14" t="str">
        <f t="shared" si="2"/>
        <v>19/05</v>
      </c>
      <c r="J494" s="15" t="str">
        <f t="shared" si="3"/>
        <v>Après-midi</v>
      </c>
    </row>
    <row r="495" ht="14.25" customHeight="1">
      <c r="A495" s="17">
        <v>46161.0</v>
      </c>
      <c r="B495" s="18" t="s">
        <v>54</v>
      </c>
      <c r="C495" s="18" t="s">
        <v>24</v>
      </c>
      <c r="D495" s="19">
        <v>0.648611111111111</v>
      </c>
      <c r="E495" s="19">
        <v>0.731944444444444</v>
      </c>
      <c r="F495" s="12" t="str">
        <f t="shared" si="1"/>
        <v>120</v>
      </c>
      <c r="G495" s="18" t="s">
        <v>23</v>
      </c>
      <c r="H495" s="12" t="str">
        <f t="shared" si="4"/>
        <v/>
      </c>
      <c r="I495" s="14" t="str">
        <f t="shared" si="2"/>
        <v>19/05</v>
      </c>
      <c r="J495" s="15" t="str">
        <f t="shared" si="3"/>
        <v>Après-midi</v>
      </c>
    </row>
    <row r="496" ht="14.25" customHeight="1">
      <c r="A496" s="17">
        <v>46161.0</v>
      </c>
      <c r="B496" s="18" t="s">
        <v>54</v>
      </c>
      <c r="C496" s="18" t="s">
        <v>24</v>
      </c>
      <c r="D496" s="19">
        <v>0.736111111111111</v>
      </c>
      <c r="E496" s="19">
        <v>0.770833333333333</v>
      </c>
      <c r="F496" s="12" t="str">
        <f t="shared" si="1"/>
        <v>50</v>
      </c>
      <c r="G496" s="18" t="s">
        <v>23</v>
      </c>
      <c r="H496" s="12" t="str">
        <f t="shared" si="4"/>
        <v/>
      </c>
      <c r="I496" s="14" t="str">
        <f t="shared" si="2"/>
        <v>19/05</v>
      </c>
      <c r="J496" s="15" t="str">
        <f t="shared" si="3"/>
        <v>Après-midi</v>
      </c>
    </row>
    <row r="497" ht="14.25" customHeight="1">
      <c r="A497" s="17">
        <v>46161.0</v>
      </c>
      <c r="B497" s="18" t="s">
        <v>54</v>
      </c>
      <c r="C497" s="18" t="s">
        <v>24</v>
      </c>
      <c r="D497" s="19">
        <v>0.78125</v>
      </c>
      <c r="E497" s="19">
        <v>0.9125</v>
      </c>
      <c r="F497" s="12" t="str">
        <f t="shared" si="1"/>
        <v>189</v>
      </c>
      <c r="G497" s="18" t="s">
        <v>85</v>
      </c>
      <c r="H497" s="12" t="str">
        <f t="shared" si="4"/>
        <v/>
      </c>
      <c r="I497" s="14" t="str">
        <f t="shared" si="2"/>
        <v>19/05</v>
      </c>
      <c r="J497" s="15" t="str">
        <f t="shared" si="3"/>
        <v>Après-midi</v>
      </c>
    </row>
    <row r="498" ht="14.25" customHeight="1">
      <c r="A498" s="17">
        <v>46163.0</v>
      </c>
      <c r="B498" s="18" t="s">
        <v>66</v>
      </c>
      <c r="C498" s="18" t="s">
        <v>24</v>
      </c>
      <c r="D498" s="19">
        <v>0.25</v>
      </c>
      <c r="E498" s="19">
        <v>0.305555555555556</v>
      </c>
      <c r="F498" s="12" t="str">
        <f t="shared" si="1"/>
        <v>80</v>
      </c>
      <c r="G498" s="18" t="s">
        <v>65</v>
      </c>
      <c r="H498" s="12" t="str">
        <f t="shared" si="4"/>
        <v>486</v>
      </c>
      <c r="I498" s="14" t="str">
        <f t="shared" si="2"/>
        <v>21/05</v>
      </c>
      <c r="J498" s="15" t="str">
        <f t="shared" si="3"/>
        <v>Matin</v>
      </c>
    </row>
    <row r="499" ht="14.25" customHeight="1">
      <c r="A499" s="17">
        <v>46163.0</v>
      </c>
      <c r="B499" s="18" t="s">
        <v>66</v>
      </c>
      <c r="C499" s="18" t="s">
        <v>24</v>
      </c>
      <c r="D499" s="19">
        <v>0.3125</v>
      </c>
      <c r="E499" s="19">
        <v>0.354166666666667</v>
      </c>
      <c r="F499" s="12" t="str">
        <f t="shared" si="1"/>
        <v>60</v>
      </c>
      <c r="G499" s="18" t="s">
        <v>71</v>
      </c>
      <c r="H499" s="12" t="str">
        <f t="shared" si="4"/>
        <v/>
      </c>
      <c r="I499" s="14" t="str">
        <f t="shared" si="2"/>
        <v>21/05</v>
      </c>
      <c r="J499" s="15" t="str">
        <f t="shared" si="3"/>
        <v>Matin</v>
      </c>
    </row>
    <row r="500" ht="14.25" customHeight="1">
      <c r="A500" s="17">
        <v>46163.0</v>
      </c>
      <c r="B500" s="18" t="s">
        <v>66</v>
      </c>
      <c r="C500" s="18" t="s">
        <v>24</v>
      </c>
      <c r="D500" s="19">
        <v>0.361111111111111</v>
      </c>
      <c r="E500" s="19">
        <v>0.375</v>
      </c>
      <c r="F500" s="12" t="str">
        <f t="shared" si="1"/>
        <v>20</v>
      </c>
      <c r="G500" s="18" t="s">
        <v>65</v>
      </c>
      <c r="H500" s="12" t="str">
        <f t="shared" si="4"/>
        <v/>
      </c>
      <c r="I500" s="14" t="str">
        <f t="shared" si="2"/>
        <v>21/05</v>
      </c>
      <c r="J500" s="15" t="str">
        <f t="shared" si="3"/>
        <v>Matin</v>
      </c>
    </row>
    <row r="501" ht="14.25" customHeight="1">
      <c r="A501" s="17">
        <v>46163.0</v>
      </c>
      <c r="B501" s="18" t="s">
        <v>66</v>
      </c>
      <c r="C501" s="18" t="s">
        <v>24</v>
      </c>
      <c r="D501" s="19">
        <v>0.392361111111111</v>
      </c>
      <c r="E501" s="19">
        <v>0.472222222222222</v>
      </c>
      <c r="F501" s="12" t="str">
        <f t="shared" si="1"/>
        <v>115</v>
      </c>
      <c r="G501" s="18" t="s">
        <v>71</v>
      </c>
      <c r="H501" s="12" t="str">
        <f t="shared" si="4"/>
        <v/>
      </c>
      <c r="I501" s="14" t="str">
        <f t="shared" si="2"/>
        <v>21/05</v>
      </c>
      <c r="J501" s="15" t="str">
        <f t="shared" si="3"/>
        <v>Matin</v>
      </c>
    </row>
    <row r="502" ht="14.25" customHeight="1">
      <c r="A502" s="17">
        <v>46163.0</v>
      </c>
      <c r="B502" s="18" t="s">
        <v>66</v>
      </c>
      <c r="C502" s="18" t="s">
        <v>24</v>
      </c>
      <c r="D502" s="19">
        <v>0.489583333333333</v>
      </c>
      <c r="E502" s="19">
        <v>0.576388888888889</v>
      </c>
      <c r="F502" s="12" t="str">
        <f t="shared" si="1"/>
        <v>125</v>
      </c>
      <c r="G502" s="18" t="s">
        <v>23</v>
      </c>
      <c r="H502" s="12" t="str">
        <f t="shared" si="4"/>
        <v/>
      </c>
      <c r="I502" s="14" t="str">
        <f t="shared" si="2"/>
        <v>21/05</v>
      </c>
      <c r="J502" s="15" t="str">
        <f t="shared" si="3"/>
        <v>Matin</v>
      </c>
    </row>
    <row r="503" ht="14.25" customHeight="1">
      <c r="A503" s="17">
        <v>46163.0</v>
      </c>
      <c r="B503" s="18" t="s">
        <v>54</v>
      </c>
      <c r="C503" s="18" t="s">
        <v>24</v>
      </c>
      <c r="D503" s="19">
        <v>0.625</v>
      </c>
      <c r="E503" s="19">
        <v>0.652777777777778</v>
      </c>
      <c r="F503" s="12" t="str">
        <f t="shared" si="1"/>
        <v>40</v>
      </c>
      <c r="G503" s="18" t="s">
        <v>65</v>
      </c>
      <c r="H503" s="12" t="str">
        <f t="shared" si="4"/>
        <v>70</v>
      </c>
      <c r="I503" s="14" t="str">
        <f t="shared" si="2"/>
        <v>21/05</v>
      </c>
      <c r="J503" s="15" t="str">
        <f t="shared" si="3"/>
        <v>Après-midi</v>
      </c>
    </row>
    <row r="504" ht="14.25" customHeight="1">
      <c r="A504" s="17">
        <v>46163.0</v>
      </c>
      <c r="B504" s="18" t="s">
        <v>54</v>
      </c>
      <c r="C504" s="18" t="s">
        <v>24</v>
      </c>
      <c r="D504" s="19">
        <v>0.65625</v>
      </c>
      <c r="E504" s="19">
        <v>0.69375</v>
      </c>
      <c r="F504" s="12" t="str">
        <f t="shared" si="1"/>
        <v>54</v>
      </c>
      <c r="G504" s="18" t="s">
        <v>23</v>
      </c>
      <c r="H504" s="12" t="str">
        <f t="shared" si="4"/>
        <v/>
      </c>
      <c r="I504" s="14" t="str">
        <f t="shared" si="2"/>
        <v>21/05</v>
      </c>
      <c r="J504" s="15" t="str">
        <f t="shared" si="3"/>
        <v>Après-midi</v>
      </c>
    </row>
    <row r="505" ht="14.25" customHeight="1">
      <c r="A505" s="17">
        <v>46163.0</v>
      </c>
      <c r="B505" s="18" t="s">
        <v>54</v>
      </c>
      <c r="C505" s="18" t="s">
        <v>24</v>
      </c>
      <c r="D505" s="19">
        <v>0.701388888888889</v>
      </c>
      <c r="E505" s="19">
        <v>0.783333333333333</v>
      </c>
      <c r="F505" s="12" t="str">
        <f t="shared" si="1"/>
        <v>118</v>
      </c>
      <c r="G505" s="18" t="s">
        <v>65</v>
      </c>
      <c r="H505" s="12" t="str">
        <f t="shared" si="4"/>
        <v/>
      </c>
      <c r="I505" s="14" t="str">
        <f t="shared" si="2"/>
        <v>21/05</v>
      </c>
      <c r="J505" s="15" t="str">
        <f t="shared" si="3"/>
        <v>Après-midi</v>
      </c>
    </row>
    <row r="506" ht="14.25" customHeight="1">
      <c r="A506" s="17">
        <v>46163.0</v>
      </c>
      <c r="B506" s="18" t="s">
        <v>54</v>
      </c>
      <c r="C506" s="18" t="s">
        <v>24</v>
      </c>
      <c r="D506" s="19">
        <v>0.788194444444444</v>
      </c>
      <c r="E506" s="19">
        <v>0.836805555555556</v>
      </c>
      <c r="F506" s="12" t="str">
        <f t="shared" si="1"/>
        <v>70</v>
      </c>
      <c r="G506" s="18" t="s">
        <v>23</v>
      </c>
      <c r="H506" s="12" t="str">
        <f t="shared" si="4"/>
        <v/>
      </c>
      <c r="I506" s="14" t="str">
        <f t="shared" si="2"/>
        <v>21/05</v>
      </c>
      <c r="J506" s="15" t="str">
        <f t="shared" si="3"/>
        <v>Après-midi</v>
      </c>
    </row>
    <row r="507" ht="14.25" customHeight="1">
      <c r="A507" s="17">
        <v>46163.0</v>
      </c>
      <c r="B507" s="18" t="s">
        <v>54</v>
      </c>
      <c r="C507" s="18" t="s">
        <v>24</v>
      </c>
      <c r="D507" s="19">
        <v>0.871527777777778</v>
      </c>
      <c r="E507" s="19">
        <v>0.916666666666667</v>
      </c>
      <c r="F507" s="12" t="str">
        <f t="shared" si="1"/>
        <v>65</v>
      </c>
      <c r="G507" s="18" t="s">
        <v>23</v>
      </c>
      <c r="H507" s="12" t="str">
        <f t="shared" si="4"/>
        <v/>
      </c>
      <c r="I507" s="14" t="str">
        <f t="shared" si="2"/>
        <v>21/05</v>
      </c>
      <c r="J507" s="15" t="str">
        <f t="shared" si="3"/>
        <v>Après-midi</v>
      </c>
    </row>
    <row r="508" ht="14.25" customHeight="1">
      <c r="A508" s="17">
        <v>46164.0</v>
      </c>
      <c r="B508" s="18" t="s">
        <v>66</v>
      </c>
      <c r="C508" s="18" t="s">
        <v>24</v>
      </c>
      <c r="D508" s="19">
        <v>0.385416666666667</v>
      </c>
      <c r="E508" s="19">
        <v>0.46875</v>
      </c>
      <c r="F508" s="12" t="str">
        <f t="shared" si="1"/>
        <v>120</v>
      </c>
      <c r="G508" s="18" t="s">
        <v>23</v>
      </c>
      <c r="H508" s="12" t="str">
        <f t="shared" si="4"/>
        <v>675</v>
      </c>
      <c r="I508" s="14" t="str">
        <f t="shared" si="2"/>
        <v>22/05</v>
      </c>
      <c r="J508" s="15" t="str">
        <f t="shared" si="3"/>
        <v>Matin</v>
      </c>
    </row>
    <row r="509" ht="14.25" customHeight="1">
      <c r="A509" s="17">
        <v>46164.0</v>
      </c>
      <c r="B509" s="18" t="s">
        <v>66</v>
      </c>
      <c r="C509" s="18" t="s">
        <v>24</v>
      </c>
      <c r="D509" s="19">
        <v>0.527777777777778</v>
      </c>
      <c r="E509" s="19">
        <v>0.611111111111111</v>
      </c>
      <c r="F509" s="12" t="str">
        <f t="shared" si="1"/>
        <v>120</v>
      </c>
      <c r="G509" s="18" t="s">
        <v>23</v>
      </c>
      <c r="H509" s="12" t="str">
        <f t="shared" si="4"/>
        <v/>
      </c>
      <c r="I509" s="14" t="str">
        <f t="shared" si="2"/>
        <v>22/05</v>
      </c>
      <c r="J509" s="15" t="str">
        <f t="shared" si="3"/>
        <v>Matin</v>
      </c>
    </row>
    <row r="510" ht="14.25" customHeight="1">
      <c r="A510" s="17">
        <v>46164.0</v>
      </c>
      <c r="B510" s="18" t="s">
        <v>54</v>
      </c>
      <c r="C510" s="18" t="s">
        <v>24</v>
      </c>
      <c r="D510" s="19">
        <v>0.642361111111111</v>
      </c>
      <c r="E510" s="19">
        <v>0.715277777777778</v>
      </c>
      <c r="F510" s="12" t="str">
        <f t="shared" si="1"/>
        <v>105</v>
      </c>
      <c r="G510" s="18" t="s">
        <v>23</v>
      </c>
      <c r="H510" s="12" t="str">
        <f t="shared" si="4"/>
        <v>45</v>
      </c>
      <c r="I510" s="14" t="str">
        <f t="shared" si="2"/>
        <v>22/05</v>
      </c>
      <c r="J510" s="15" t="str">
        <f t="shared" si="3"/>
        <v>Après-midi</v>
      </c>
    </row>
    <row r="511" ht="14.25" customHeight="1">
      <c r="A511" s="17">
        <v>46164.0</v>
      </c>
      <c r="B511" s="18" t="s">
        <v>54</v>
      </c>
      <c r="C511" s="18" t="s">
        <v>24</v>
      </c>
      <c r="D511" s="19">
        <v>0.722222222222222</v>
      </c>
      <c r="E511" s="19">
        <v>0.75</v>
      </c>
      <c r="F511" s="12" t="str">
        <f t="shared" si="1"/>
        <v>40</v>
      </c>
      <c r="G511" s="18" t="s">
        <v>23</v>
      </c>
      <c r="H511" s="12" t="str">
        <f t="shared" si="4"/>
        <v/>
      </c>
      <c r="I511" s="14" t="str">
        <f t="shared" si="2"/>
        <v>22/05</v>
      </c>
      <c r="J511" s="15" t="str">
        <f t="shared" si="3"/>
        <v>Après-midi</v>
      </c>
    </row>
    <row r="512" ht="14.25" customHeight="1">
      <c r="A512" s="17">
        <v>46164.0</v>
      </c>
      <c r="B512" s="18" t="s">
        <v>54</v>
      </c>
      <c r="C512" s="18" t="s">
        <v>24</v>
      </c>
      <c r="D512" s="19">
        <v>0.760416666666667</v>
      </c>
      <c r="E512" s="19">
        <v>0.840277777777778</v>
      </c>
      <c r="F512" s="12" t="str">
        <f t="shared" si="1"/>
        <v>115</v>
      </c>
      <c r="G512" s="18" t="s">
        <v>23</v>
      </c>
      <c r="H512" s="12" t="str">
        <f t="shared" si="4"/>
        <v/>
      </c>
      <c r="I512" s="14" t="str">
        <f t="shared" si="2"/>
        <v>22/05</v>
      </c>
      <c r="J512" s="15" t="str">
        <f t="shared" si="3"/>
        <v>Après-midi</v>
      </c>
    </row>
    <row r="513" ht="14.25" customHeight="1">
      <c r="A513" s="17">
        <v>46164.0</v>
      </c>
      <c r="B513" s="18" t="s">
        <v>54</v>
      </c>
      <c r="C513" s="18" t="s">
        <v>24</v>
      </c>
      <c r="D513" s="19">
        <v>0.847222222222222</v>
      </c>
      <c r="E513" s="19">
        <v>0.882638888888889</v>
      </c>
      <c r="F513" s="12" t="str">
        <f t="shared" si="1"/>
        <v>51</v>
      </c>
      <c r="G513" s="18" t="s">
        <v>65</v>
      </c>
      <c r="H513" s="12" t="str">
        <f t="shared" si="4"/>
        <v/>
      </c>
      <c r="I513" s="14" t="str">
        <f t="shared" si="2"/>
        <v>22/05</v>
      </c>
      <c r="J513" s="15" t="str">
        <f t="shared" si="3"/>
        <v>Après-midi</v>
      </c>
    </row>
    <row r="514" ht="14.25" customHeight="1">
      <c r="A514" s="17">
        <v>46164.0</v>
      </c>
      <c r="B514" s="18" t="s">
        <v>66</v>
      </c>
      <c r="C514" s="18" t="s">
        <v>24</v>
      </c>
      <c r="D514" s="19">
        <v>0.25</v>
      </c>
      <c r="E514" s="19">
        <v>0.333333333333333</v>
      </c>
      <c r="F514" s="12" t="str">
        <f t="shared" si="1"/>
        <v>120</v>
      </c>
      <c r="G514" s="18" t="s">
        <v>23</v>
      </c>
      <c r="H514" s="12" t="str">
        <f t="shared" si="4"/>
        <v>529</v>
      </c>
      <c r="I514" s="14" t="str">
        <f t="shared" si="2"/>
        <v>22/05</v>
      </c>
      <c r="J514" s="15" t="str">
        <f t="shared" si="3"/>
        <v>Matin</v>
      </c>
    </row>
    <row r="515" ht="14.25" customHeight="1">
      <c r="A515" s="17">
        <v>46164.0</v>
      </c>
      <c r="B515" s="18" t="s">
        <v>66</v>
      </c>
      <c r="C515" s="18" t="s">
        <v>24</v>
      </c>
      <c r="D515" s="19">
        <v>0.347916666666667</v>
      </c>
      <c r="E515" s="19">
        <v>0.486111111111111</v>
      </c>
      <c r="F515" s="12" t="str">
        <f t="shared" si="1"/>
        <v>199</v>
      </c>
      <c r="G515" s="18" t="s">
        <v>23</v>
      </c>
      <c r="H515" s="12" t="str">
        <f t="shared" si="4"/>
        <v/>
      </c>
      <c r="I515" s="14" t="str">
        <f t="shared" si="2"/>
        <v>22/05</v>
      </c>
      <c r="J515" s="15" t="str">
        <f t="shared" si="3"/>
        <v>Matin</v>
      </c>
    </row>
    <row r="516" ht="14.25" customHeight="1">
      <c r="A516" s="17">
        <v>46164.0</v>
      </c>
      <c r="B516" s="18" t="s">
        <v>66</v>
      </c>
      <c r="C516" s="18" t="s">
        <v>24</v>
      </c>
      <c r="D516" s="19">
        <v>0.493055555555556</v>
      </c>
      <c r="E516" s="19">
        <v>0.625</v>
      </c>
      <c r="F516" s="12" t="str">
        <f t="shared" si="1"/>
        <v>190</v>
      </c>
      <c r="G516" s="18" t="s">
        <v>65</v>
      </c>
      <c r="H516" s="12" t="str">
        <f t="shared" si="4"/>
        <v/>
      </c>
      <c r="I516" s="14" t="str">
        <f t="shared" si="2"/>
        <v>22/05</v>
      </c>
      <c r="J516" s="15" t="str">
        <f t="shared" si="3"/>
        <v>Matin</v>
      </c>
    </row>
    <row r="517" ht="14.25" customHeight="1">
      <c r="A517" s="17">
        <v>46165.0</v>
      </c>
      <c r="B517" s="18" t="s">
        <v>54</v>
      </c>
      <c r="C517" s="18" t="s">
        <v>24</v>
      </c>
      <c r="D517" s="19">
        <v>0.635416666666667</v>
      </c>
      <c r="E517" s="19">
        <v>0.747916666666667</v>
      </c>
      <c r="F517" s="12" t="str">
        <f t="shared" si="1"/>
        <v>162</v>
      </c>
      <c r="G517" s="18" t="s">
        <v>23</v>
      </c>
      <c r="H517" s="12" t="str">
        <f t="shared" si="4"/>
        <v>15</v>
      </c>
      <c r="I517" s="14" t="str">
        <f t="shared" si="2"/>
        <v>23/05</v>
      </c>
      <c r="J517" s="15" t="str">
        <f t="shared" si="3"/>
        <v>Après-midi</v>
      </c>
    </row>
    <row r="518" ht="14.25" customHeight="1">
      <c r="A518" s="17">
        <v>46165.0</v>
      </c>
      <c r="B518" s="18" t="s">
        <v>54</v>
      </c>
      <c r="C518" s="18" t="s">
        <v>24</v>
      </c>
      <c r="D518" s="19">
        <v>0.761805555555556</v>
      </c>
      <c r="E518" s="19">
        <v>0.868055555555556</v>
      </c>
      <c r="F518" s="12" t="str">
        <f t="shared" si="1"/>
        <v>153</v>
      </c>
      <c r="G518" s="18" t="s">
        <v>23</v>
      </c>
      <c r="H518" s="12" t="str">
        <f t="shared" si="4"/>
        <v/>
      </c>
      <c r="I518" s="14" t="str">
        <f t="shared" si="2"/>
        <v>23/05</v>
      </c>
      <c r="J518" s="15" t="str">
        <f t="shared" si="3"/>
        <v>Après-midi</v>
      </c>
    </row>
    <row r="519" ht="14.25" customHeight="1">
      <c r="A519" s="17">
        <v>46165.0</v>
      </c>
      <c r="B519" s="18" t="s">
        <v>54</v>
      </c>
      <c r="C519" s="18" t="s">
        <v>24</v>
      </c>
      <c r="D519" s="19">
        <v>0.881944444444444</v>
      </c>
      <c r="E519" s="19">
        <v>0.916666666666667</v>
      </c>
      <c r="F519" s="12" t="str">
        <f t="shared" si="1"/>
        <v>50</v>
      </c>
      <c r="G519" s="18" t="s">
        <v>23</v>
      </c>
      <c r="H519" s="12" t="str">
        <f t="shared" si="4"/>
        <v/>
      </c>
      <c r="I519" s="14" t="str">
        <f t="shared" si="2"/>
        <v>23/05</v>
      </c>
      <c r="J519" s="15" t="str">
        <f t="shared" si="3"/>
        <v>Après-midi</v>
      </c>
    </row>
    <row r="520" ht="14.25" customHeight="1">
      <c r="A520" s="17">
        <v>46166.0</v>
      </c>
      <c r="B520" s="18" t="s">
        <v>54</v>
      </c>
      <c r="C520" s="18" t="s">
        <v>24</v>
      </c>
      <c r="D520" s="19">
        <v>0.291666666666667</v>
      </c>
      <c r="E520" s="19">
        <v>0.334027777777778</v>
      </c>
      <c r="F520" s="12" t="str">
        <f t="shared" si="1"/>
        <v>61</v>
      </c>
      <c r="G520" s="18" t="s">
        <v>23</v>
      </c>
      <c r="H520" s="12" t="str">
        <f t="shared" si="4"/>
        <v/>
      </c>
      <c r="I520" s="14" t="str">
        <f t="shared" si="2"/>
        <v>24/05</v>
      </c>
      <c r="J520" s="15" t="str">
        <f t="shared" si="3"/>
        <v>Matin</v>
      </c>
    </row>
    <row r="521" ht="14.25" customHeight="1">
      <c r="A521" s="17">
        <v>46166.0</v>
      </c>
      <c r="B521" s="18" t="s">
        <v>54</v>
      </c>
      <c r="C521" s="18" t="s">
        <v>24</v>
      </c>
      <c r="D521" s="19">
        <v>0.340277777777778</v>
      </c>
      <c r="E521" s="19">
        <v>0.444444444444444</v>
      </c>
      <c r="F521" s="12" t="str">
        <f t="shared" si="1"/>
        <v>150</v>
      </c>
      <c r="G521" s="18" t="s">
        <v>23</v>
      </c>
      <c r="H521" s="12" t="str">
        <f t="shared" si="4"/>
        <v/>
      </c>
      <c r="I521" s="14" t="str">
        <f t="shared" si="2"/>
        <v>24/05</v>
      </c>
      <c r="J521" s="15" t="str">
        <f t="shared" si="3"/>
        <v>Matin</v>
      </c>
    </row>
    <row r="522" ht="14.25" customHeight="1">
      <c r="A522" s="17">
        <v>46166.0</v>
      </c>
      <c r="B522" s="18" t="s">
        <v>54</v>
      </c>
      <c r="C522" s="18" t="s">
        <v>24</v>
      </c>
      <c r="D522" s="19">
        <v>0.449305555555556</v>
      </c>
      <c r="E522" s="19">
        <v>0.509027777777778</v>
      </c>
      <c r="F522" s="12" t="str">
        <f t="shared" si="1"/>
        <v>86</v>
      </c>
      <c r="G522" s="18" t="s">
        <v>23</v>
      </c>
      <c r="H522" s="12" t="str">
        <f t="shared" si="4"/>
        <v/>
      </c>
      <c r="I522" s="14" t="str">
        <f t="shared" si="2"/>
        <v>24/05</v>
      </c>
      <c r="J522" s="15" t="str">
        <f t="shared" si="3"/>
        <v>Matin</v>
      </c>
    </row>
    <row r="523" ht="14.25" customHeight="1">
      <c r="A523" s="17">
        <v>46166.0</v>
      </c>
      <c r="B523" s="18" t="s">
        <v>54</v>
      </c>
      <c r="C523" s="18" t="s">
        <v>24</v>
      </c>
      <c r="D523" s="19">
        <v>0.517361111111111</v>
      </c>
      <c r="E523" s="19">
        <v>0.576388888888889</v>
      </c>
      <c r="F523" s="12" t="str">
        <f t="shared" si="1"/>
        <v>85</v>
      </c>
      <c r="G523" s="18" t="s">
        <v>23</v>
      </c>
      <c r="H523" s="12" t="str">
        <f t="shared" si="4"/>
        <v/>
      </c>
      <c r="I523" s="14" t="str">
        <f t="shared" si="2"/>
        <v>24/05</v>
      </c>
      <c r="J523" s="15" t="str">
        <f t="shared" si="3"/>
        <v>Matin</v>
      </c>
    </row>
    <row r="524" ht="14.25" customHeight="1">
      <c r="A524" s="17">
        <v>46166.0</v>
      </c>
      <c r="B524" s="18" t="s">
        <v>66</v>
      </c>
      <c r="C524" s="18" t="s">
        <v>24</v>
      </c>
      <c r="D524" s="19">
        <v>0.256944444444444</v>
      </c>
      <c r="E524" s="19">
        <v>0.274305555555556</v>
      </c>
      <c r="F524" s="12" t="str">
        <f t="shared" si="1"/>
        <v>25</v>
      </c>
      <c r="G524" s="18" t="s">
        <v>38</v>
      </c>
      <c r="H524" s="12" t="str">
        <f t="shared" si="4"/>
        <v>980</v>
      </c>
      <c r="I524" s="14" t="str">
        <f t="shared" si="2"/>
        <v>24/05</v>
      </c>
      <c r="J524" s="15" t="str">
        <f t="shared" si="3"/>
        <v>Matin</v>
      </c>
    </row>
    <row r="525" ht="14.25" customHeight="1">
      <c r="A525" s="17">
        <v>46166.0</v>
      </c>
      <c r="B525" s="18" t="s">
        <v>66</v>
      </c>
      <c r="C525" s="18" t="s">
        <v>24</v>
      </c>
      <c r="D525" s="19">
        <v>0.28125</v>
      </c>
      <c r="E525" s="19">
        <v>0.284027777777778</v>
      </c>
      <c r="F525" s="12" t="str">
        <f t="shared" si="1"/>
        <v>4</v>
      </c>
      <c r="G525" s="18" t="s">
        <v>65</v>
      </c>
      <c r="H525" s="12" t="str">
        <f t="shared" si="4"/>
        <v/>
      </c>
      <c r="I525" s="14" t="str">
        <f t="shared" si="2"/>
        <v>24/05</v>
      </c>
      <c r="J525" s="15" t="str">
        <f t="shared" si="3"/>
        <v>Matin</v>
      </c>
    </row>
    <row r="526" ht="14.25" customHeight="1">
      <c r="A526" s="17">
        <v>46166.0</v>
      </c>
      <c r="B526" s="18" t="s">
        <v>66</v>
      </c>
      <c r="C526" s="18" t="s">
        <v>24</v>
      </c>
      <c r="D526" s="19">
        <v>0.318055555555556</v>
      </c>
      <c r="E526" s="19">
        <v>0.333333333333333</v>
      </c>
      <c r="F526" s="12" t="str">
        <f t="shared" si="1"/>
        <v>22</v>
      </c>
      <c r="G526" s="18" t="s">
        <v>65</v>
      </c>
      <c r="H526" s="12" t="str">
        <f t="shared" si="4"/>
        <v/>
      </c>
      <c r="I526" s="14" t="str">
        <f t="shared" si="2"/>
        <v>24/05</v>
      </c>
      <c r="J526" s="15" t="str">
        <f t="shared" si="3"/>
        <v>Matin</v>
      </c>
    </row>
    <row r="527" ht="14.25" customHeight="1">
      <c r="A527" s="17">
        <v>46166.0</v>
      </c>
      <c r="B527" s="18" t="s">
        <v>66</v>
      </c>
      <c r="C527" s="18" t="s">
        <v>24</v>
      </c>
      <c r="D527" s="19">
        <v>0.340277777777778</v>
      </c>
      <c r="E527" s="19">
        <v>0.366666666666667</v>
      </c>
      <c r="F527" s="12" t="str">
        <f t="shared" si="1"/>
        <v>38</v>
      </c>
      <c r="G527" s="18" t="s">
        <v>23</v>
      </c>
      <c r="H527" s="12" t="str">
        <f t="shared" si="4"/>
        <v/>
      </c>
      <c r="I527" s="14" t="str">
        <f t="shared" si="2"/>
        <v>24/05</v>
      </c>
      <c r="J527" s="15" t="str">
        <f t="shared" si="3"/>
        <v>Matin</v>
      </c>
    </row>
    <row r="528" ht="14.25" customHeight="1">
      <c r="A528" s="17">
        <v>46166.0</v>
      </c>
      <c r="B528" s="18" t="s">
        <v>66</v>
      </c>
      <c r="C528" s="18" t="s">
        <v>24</v>
      </c>
      <c r="D528" s="19">
        <v>0.371527777777778</v>
      </c>
      <c r="E528" s="19">
        <v>0.482638888888889</v>
      </c>
      <c r="F528" s="12" t="str">
        <f t="shared" si="1"/>
        <v>160</v>
      </c>
      <c r="G528" s="18" t="s">
        <v>23</v>
      </c>
      <c r="H528" s="12" t="str">
        <f t="shared" si="4"/>
        <v/>
      </c>
      <c r="I528" s="14" t="str">
        <f t="shared" si="2"/>
        <v>24/05</v>
      </c>
      <c r="J528" s="15" t="str">
        <f t="shared" si="3"/>
        <v>Matin</v>
      </c>
    </row>
    <row r="529" ht="14.25" customHeight="1">
      <c r="A529" s="17">
        <v>46166.0</v>
      </c>
      <c r="B529" s="18" t="s">
        <v>66</v>
      </c>
      <c r="C529" s="18" t="s">
        <v>24</v>
      </c>
      <c r="D529" s="19">
        <v>0.486111111111111</v>
      </c>
      <c r="E529" s="19">
        <v>0.534027777777778</v>
      </c>
      <c r="F529" s="12" t="str">
        <f t="shared" si="1"/>
        <v>69</v>
      </c>
      <c r="G529" s="18" t="s">
        <v>23</v>
      </c>
      <c r="H529" s="12" t="str">
        <f t="shared" si="4"/>
        <v/>
      </c>
      <c r="I529" s="14" t="str">
        <f t="shared" si="2"/>
        <v>24/05</v>
      </c>
      <c r="J529" s="15" t="str">
        <f t="shared" si="3"/>
        <v>Matin</v>
      </c>
    </row>
    <row r="530" ht="14.25" customHeight="1">
      <c r="A530" s="17">
        <v>46166.0</v>
      </c>
      <c r="B530" s="18" t="s">
        <v>66</v>
      </c>
      <c r="C530" s="18" t="s">
        <v>24</v>
      </c>
      <c r="D530" s="19">
        <v>0.541666666666667</v>
      </c>
      <c r="E530" s="19">
        <v>0.559027777777778</v>
      </c>
      <c r="F530" s="12" t="str">
        <f t="shared" si="1"/>
        <v>25</v>
      </c>
      <c r="G530" s="18" t="s">
        <v>65</v>
      </c>
      <c r="H530" s="12" t="str">
        <f t="shared" si="4"/>
        <v/>
      </c>
      <c r="I530" s="14" t="str">
        <f t="shared" si="2"/>
        <v>24/05</v>
      </c>
      <c r="J530" s="15" t="str">
        <f t="shared" si="3"/>
        <v>Matin</v>
      </c>
    </row>
    <row r="531" ht="14.25" customHeight="1">
      <c r="A531" s="17">
        <v>46166.0</v>
      </c>
      <c r="B531" s="18" t="s">
        <v>54</v>
      </c>
      <c r="C531" s="18" t="s">
        <v>24</v>
      </c>
      <c r="D531" s="19">
        <v>0.583333333333333</v>
      </c>
      <c r="E531" s="19">
        <v>0.684027777777778</v>
      </c>
      <c r="F531" s="12" t="str">
        <f t="shared" si="1"/>
        <v>145</v>
      </c>
      <c r="G531" s="18" t="s">
        <v>23</v>
      </c>
      <c r="H531" s="12" t="str">
        <f t="shared" si="4"/>
        <v>35</v>
      </c>
      <c r="I531" s="14" t="str">
        <f t="shared" si="2"/>
        <v>24/05</v>
      </c>
      <c r="J531" s="15" t="str">
        <f t="shared" si="3"/>
        <v>Après-midi</v>
      </c>
    </row>
    <row r="532" ht="14.25" customHeight="1">
      <c r="A532" s="17">
        <v>46166.0</v>
      </c>
      <c r="B532" s="18" t="s">
        <v>54</v>
      </c>
      <c r="C532" s="18" t="s">
        <v>24</v>
      </c>
      <c r="D532" s="19">
        <v>0.6875</v>
      </c>
      <c r="E532" s="19">
        <v>0.791666666666667</v>
      </c>
      <c r="F532" s="12" t="str">
        <f t="shared" si="1"/>
        <v>150</v>
      </c>
      <c r="G532" s="18" t="s">
        <v>23</v>
      </c>
      <c r="H532" s="12" t="str">
        <f t="shared" si="4"/>
        <v/>
      </c>
      <c r="I532" s="14" t="str">
        <f t="shared" si="2"/>
        <v>24/05</v>
      </c>
      <c r="J532" s="15" t="str">
        <f t="shared" si="3"/>
        <v>Après-midi</v>
      </c>
    </row>
    <row r="533" ht="14.25" customHeight="1">
      <c r="A533" s="17">
        <v>46166.0</v>
      </c>
      <c r="B533" s="18" t="s">
        <v>54</v>
      </c>
      <c r="C533" s="18" t="s">
        <v>24</v>
      </c>
      <c r="D533" s="19">
        <v>0.8125</v>
      </c>
      <c r="E533" s="19">
        <v>0.916666666666667</v>
      </c>
      <c r="F533" s="12" t="str">
        <f t="shared" si="1"/>
        <v>150</v>
      </c>
      <c r="G533" s="18" t="s">
        <v>23</v>
      </c>
      <c r="H533" s="12" t="str">
        <f t="shared" si="4"/>
        <v/>
      </c>
      <c r="I533" s="14" t="str">
        <f t="shared" si="2"/>
        <v>24/05</v>
      </c>
      <c r="J533" s="15" t="str">
        <f t="shared" si="3"/>
        <v>Après-midi</v>
      </c>
    </row>
    <row r="534" ht="14.25" customHeight="1">
      <c r="A534" s="17">
        <v>46167.0</v>
      </c>
      <c r="B534" s="18" t="s">
        <v>66</v>
      </c>
      <c r="C534" s="18" t="s">
        <v>24</v>
      </c>
      <c r="D534" s="19">
        <v>0.25</v>
      </c>
      <c r="E534" s="19">
        <v>0.3</v>
      </c>
      <c r="F534" s="12" t="str">
        <f t="shared" si="1"/>
        <v>72</v>
      </c>
      <c r="G534" s="18" t="s">
        <v>23</v>
      </c>
      <c r="H534" s="12" t="str">
        <f t="shared" si="4"/>
        <v>480</v>
      </c>
      <c r="I534" s="14" t="str">
        <f t="shared" si="2"/>
        <v>25/05</v>
      </c>
      <c r="J534" s="15" t="str">
        <f t="shared" si="3"/>
        <v>Matin</v>
      </c>
    </row>
    <row r="535" ht="14.25" customHeight="1">
      <c r="A535" s="17">
        <v>46167.0</v>
      </c>
      <c r="B535" s="18" t="s">
        <v>66</v>
      </c>
      <c r="C535" s="18" t="s">
        <v>24</v>
      </c>
      <c r="D535" s="19">
        <v>0.315972222222222</v>
      </c>
      <c r="E535" s="19">
        <v>0.326388888888889</v>
      </c>
      <c r="F535" s="12" t="str">
        <f t="shared" si="1"/>
        <v>15</v>
      </c>
      <c r="G535" s="18" t="s">
        <v>65</v>
      </c>
      <c r="H535" s="12" t="str">
        <f t="shared" si="4"/>
        <v/>
      </c>
      <c r="I535" s="14" t="str">
        <f t="shared" si="2"/>
        <v>25/05</v>
      </c>
      <c r="J535" s="15" t="str">
        <f t="shared" si="3"/>
        <v>Matin</v>
      </c>
    </row>
    <row r="536" ht="14.25" customHeight="1">
      <c r="A536" s="17">
        <v>46167.0</v>
      </c>
      <c r="B536" s="18" t="s">
        <v>66</v>
      </c>
      <c r="C536" s="18" t="s">
        <v>24</v>
      </c>
      <c r="D536" s="19">
        <v>0.335416666666667</v>
      </c>
      <c r="E536" s="19">
        <v>0.458333333333333</v>
      </c>
      <c r="F536" s="12" t="str">
        <f t="shared" si="1"/>
        <v>177</v>
      </c>
      <c r="G536" s="18" t="s">
        <v>23</v>
      </c>
      <c r="H536" s="12" t="str">
        <f t="shared" si="4"/>
        <v/>
      </c>
      <c r="I536" s="14" t="str">
        <f t="shared" si="2"/>
        <v>25/05</v>
      </c>
      <c r="J536" s="15" t="str">
        <f t="shared" si="3"/>
        <v>Matin</v>
      </c>
    </row>
    <row r="537" ht="14.25" customHeight="1">
      <c r="A537" s="17">
        <v>46167.0</v>
      </c>
      <c r="B537" s="18" t="s">
        <v>66</v>
      </c>
      <c r="C537" s="18" t="s">
        <v>24</v>
      </c>
      <c r="D537" s="19">
        <v>0.486805555555556</v>
      </c>
      <c r="E537" s="19">
        <v>0.548611111111111</v>
      </c>
      <c r="F537" s="12" t="str">
        <f t="shared" si="1"/>
        <v>89</v>
      </c>
      <c r="G537" s="18" t="s">
        <v>23</v>
      </c>
      <c r="H537" s="12" t="str">
        <f t="shared" si="4"/>
        <v/>
      </c>
      <c r="I537" s="14" t="str">
        <f t="shared" si="2"/>
        <v>25/05</v>
      </c>
      <c r="J537" s="15" t="str">
        <f t="shared" si="3"/>
        <v>Matin</v>
      </c>
    </row>
    <row r="538" ht="14.25" customHeight="1">
      <c r="A538" s="17">
        <v>46167.0</v>
      </c>
      <c r="B538" s="18" t="s">
        <v>66</v>
      </c>
      <c r="C538" s="18" t="s">
        <v>24</v>
      </c>
      <c r="D538" s="19">
        <v>0.555555555555556</v>
      </c>
      <c r="E538" s="19">
        <v>0.583333333333333</v>
      </c>
      <c r="F538" s="12" t="str">
        <f t="shared" si="1"/>
        <v>40</v>
      </c>
      <c r="G538" s="18" t="s">
        <v>86</v>
      </c>
      <c r="H538" s="12" t="str">
        <f t="shared" si="4"/>
        <v/>
      </c>
      <c r="I538" s="14" t="str">
        <f t="shared" si="2"/>
        <v>25/05</v>
      </c>
      <c r="J538" s="15" t="str">
        <f t="shared" si="3"/>
        <v>Matin</v>
      </c>
    </row>
    <row r="539" ht="14.25" customHeight="1">
      <c r="A539" s="17">
        <v>46167.0</v>
      </c>
      <c r="B539" s="18" t="s">
        <v>54</v>
      </c>
      <c r="C539" s="18" t="s">
        <v>24</v>
      </c>
      <c r="D539" s="19">
        <v>0.583333333333333</v>
      </c>
      <c r="E539" s="19">
        <v>0.6875</v>
      </c>
      <c r="F539" s="12" t="str">
        <f t="shared" si="1"/>
        <v>150</v>
      </c>
      <c r="G539" s="18" t="s">
        <v>23</v>
      </c>
      <c r="H539" s="12" t="str">
        <f t="shared" si="4"/>
        <v>0</v>
      </c>
      <c r="I539" s="14" t="str">
        <f t="shared" si="2"/>
        <v>25/05</v>
      </c>
      <c r="J539" s="15" t="str">
        <f t="shared" si="3"/>
        <v>Après-midi</v>
      </c>
    </row>
    <row r="540" ht="14.25" customHeight="1">
      <c r="A540" s="17">
        <v>46167.0</v>
      </c>
      <c r="B540" s="18" t="s">
        <v>54</v>
      </c>
      <c r="C540" s="18" t="s">
        <v>24</v>
      </c>
      <c r="D540" s="19">
        <v>0.701388888888889</v>
      </c>
      <c r="E540" s="19">
        <v>0.708333333333333</v>
      </c>
      <c r="F540" s="12" t="str">
        <f t="shared" si="1"/>
        <v>10</v>
      </c>
      <c r="G540" s="18" t="s">
        <v>23</v>
      </c>
      <c r="H540" s="12" t="str">
        <f t="shared" si="4"/>
        <v/>
      </c>
      <c r="I540" s="14" t="str">
        <f t="shared" si="2"/>
        <v>25/05</v>
      </c>
      <c r="J540" s="15" t="str">
        <f t="shared" si="3"/>
        <v>Après-midi</v>
      </c>
    </row>
    <row r="541" ht="14.25" customHeight="1">
      <c r="A541" s="17">
        <v>46167.0</v>
      </c>
      <c r="B541" s="18" t="s">
        <v>54</v>
      </c>
      <c r="C541" s="18" t="s">
        <v>24</v>
      </c>
      <c r="D541" s="19">
        <v>0.75</v>
      </c>
      <c r="E541" s="19">
        <v>0.822916666666667</v>
      </c>
      <c r="F541" s="12" t="str">
        <f t="shared" si="1"/>
        <v>105</v>
      </c>
      <c r="G541" s="18" t="s">
        <v>23</v>
      </c>
      <c r="H541" s="12" t="str">
        <f t="shared" si="4"/>
        <v/>
      </c>
      <c r="I541" s="14" t="str">
        <f t="shared" si="2"/>
        <v>25/05</v>
      </c>
      <c r="J541" s="15" t="str">
        <f t="shared" si="3"/>
        <v>Après-midi</v>
      </c>
    </row>
    <row r="542" ht="14.25" customHeight="1">
      <c r="A542" s="17">
        <v>46169.0</v>
      </c>
      <c r="B542" s="18" t="s">
        <v>66</v>
      </c>
      <c r="C542" s="18" t="s">
        <v>24</v>
      </c>
      <c r="D542" s="19">
        <v>0.266666666666667</v>
      </c>
      <c r="E542" s="19">
        <v>0.335416666666667</v>
      </c>
      <c r="F542" s="12" t="str">
        <f t="shared" si="1"/>
        <v>99</v>
      </c>
      <c r="G542" s="18" t="s">
        <v>23</v>
      </c>
      <c r="H542" s="12" t="str">
        <f t="shared" si="4"/>
        <v>639</v>
      </c>
      <c r="I542" s="14" t="str">
        <f t="shared" si="2"/>
        <v>27/05</v>
      </c>
      <c r="J542" s="15" t="str">
        <f t="shared" si="3"/>
        <v>Matin</v>
      </c>
    </row>
    <row r="543" ht="14.25" customHeight="1">
      <c r="A543" s="17">
        <v>46169.0</v>
      </c>
      <c r="B543" s="18" t="s">
        <v>66</v>
      </c>
      <c r="C543" s="18" t="s">
        <v>24</v>
      </c>
      <c r="D543" s="19">
        <v>0.34375</v>
      </c>
      <c r="E543" s="19">
        <v>0.385416666666667</v>
      </c>
      <c r="F543" s="12" t="str">
        <f t="shared" si="1"/>
        <v>60</v>
      </c>
      <c r="G543" s="18" t="s">
        <v>23</v>
      </c>
      <c r="H543" s="12" t="str">
        <f t="shared" si="4"/>
        <v/>
      </c>
      <c r="I543" s="14" t="str">
        <f t="shared" si="2"/>
        <v>27/05</v>
      </c>
      <c r="J543" s="15" t="str">
        <f t="shared" si="3"/>
        <v>Matin</v>
      </c>
    </row>
    <row r="544" ht="14.25" customHeight="1">
      <c r="A544" s="17">
        <v>46169.0</v>
      </c>
      <c r="B544" s="18" t="s">
        <v>66</v>
      </c>
      <c r="C544" s="18" t="s">
        <v>24</v>
      </c>
      <c r="D544" s="19">
        <v>0.392361111111111</v>
      </c>
      <c r="E544" s="19">
        <v>0.427083333333333</v>
      </c>
      <c r="F544" s="12" t="str">
        <f t="shared" si="1"/>
        <v>50</v>
      </c>
      <c r="G544" s="18" t="s">
        <v>23</v>
      </c>
      <c r="H544" s="12" t="str">
        <f t="shared" si="4"/>
        <v/>
      </c>
      <c r="I544" s="14" t="str">
        <f t="shared" si="2"/>
        <v>27/05</v>
      </c>
      <c r="J544" s="15" t="str">
        <f t="shared" si="3"/>
        <v>Matin</v>
      </c>
    </row>
    <row r="545" ht="14.25" customHeight="1">
      <c r="A545" s="17">
        <v>46169.0</v>
      </c>
      <c r="B545" s="18" t="s">
        <v>66</v>
      </c>
      <c r="C545" s="18" t="s">
        <v>24</v>
      </c>
      <c r="D545" s="19">
        <v>0.4375</v>
      </c>
      <c r="E545" s="19">
        <v>0.440972222222222</v>
      </c>
      <c r="F545" s="12" t="str">
        <f t="shared" si="1"/>
        <v>5</v>
      </c>
      <c r="G545" s="18" t="s">
        <v>71</v>
      </c>
      <c r="H545" s="12" t="str">
        <f t="shared" si="4"/>
        <v/>
      </c>
      <c r="I545" s="14" t="str">
        <f t="shared" si="2"/>
        <v>27/05</v>
      </c>
      <c r="J545" s="15" t="str">
        <f t="shared" si="3"/>
        <v>Matin</v>
      </c>
    </row>
    <row r="546" ht="14.25" customHeight="1">
      <c r="A546" s="17">
        <v>46169.0</v>
      </c>
      <c r="B546" s="18" t="s">
        <v>66</v>
      </c>
      <c r="C546" s="18" t="s">
        <v>24</v>
      </c>
      <c r="D546" s="19">
        <v>0.465277777777778</v>
      </c>
      <c r="E546" s="19">
        <v>0.470138888888889</v>
      </c>
      <c r="F546" s="12" t="str">
        <f t="shared" si="1"/>
        <v>7</v>
      </c>
      <c r="G546" s="18" t="s">
        <v>65</v>
      </c>
      <c r="H546" s="12" t="str">
        <f t="shared" si="4"/>
        <v/>
      </c>
      <c r="I546" s="14" t="str">
        <f t="shared" si="2"/>
        <v>27/05</v>
      </c>
      <c r="J546" s="15" t="str">
        <f t="shared" si="3"/>
        <v>Matin</v>
      </c>
    </row>
    <row r="547" ht="14.25" customHeight="1">
      <c r="A547" s="17">
        <v>46169.0</v>
      </c>
      <c r="B547" s="18" t="s">
        <v>66</v>
      </c>
      <c r="C547" s="18" t="s">
        <v>24</v>
      </c>
      <c r="D547" s="19">
        <v>0.495138888888889</v>
      </c>
      <c r="E547" s="19">
        <v>0.583333333333333</v>
      </c>
      <c r="F547" s="12" t="str">
        <f t="shared" si="1"/>
        <v>127</v>
      </c>
      <c r="G547" s="18" t="s">
        <v>23</v>
      </c>
      <c r="H547" s="12" t="str">
        <f t="shared" si="4"/>
        <v/>
      </c>
      <c r="I547" s="14" t="str">
        <f t="shared" si="2"/>
        <v>27/05</v>
      </c>
      <c r="J547" s="15" t="str">
        <f t="shared" si="3"/>
        <v>Matin</v>
      </c>
    </row>
    <row r="548" ht="14.25" customHeight="1">
      <c r="A548" s="17">
        <v>46171.0</v>
      </c>
      <c r="B548" s="18" t="s">
        <v>54</v>
      </c>
      <c r="C548" s="18" t="s">
        <v>24</v>
      </c>
      <c r="D548" s="19">
        <v>0.255555555555556</v>
      </c>
      <c r="E548" s="19">
        <v>0.326388888888889</v>
      </c>
      <c r="F548" s="12" t="str">
        <f t="shared" si="1"/>
        <v>102</v>
      </c>
      <c r="G548" s="18" t="s">
        <v>23</v>
      </c>
      <c r="H548" s="12" t="str">
        <f t="shared" si="4"/>
        <v>968</v>
      </c>
      <c r="I548" s="14" t="str">
        <f t="shared" si="2"/>
        <v>29/05</v>
      </c>
      <c r="J548" s="15" t="str">
        <f t="shared" si="3"/>
        <v>Matin</v>
      </c>
    </row>
    <row r="549" ht="14.25" customHeight="1">
      <c r="A549" s="17">
        <v>46171.0</v>
      </c>
      <c r="B549" s="18" t="s">
        <v>54</v>
      </c>
      <c r="C549" s="18" t="s">
        <v>24</v>
      </c>
      <c r="D549" s="19">
        <v>0.333333333333333</v>
      </c>
      <c r="E549" s="19">
        <v>0.401388888888889</v>
      </c>
      <c r="F549" s="12" t="str">
        <f t="shared" si="1"/>
        <v>98</v>
      </c>
      <c r="G549" s="18" t="s">
        <v>23</v>
      </c>
      <c r="H549" s="12" t="str">
        <f t="shared" si="4"/>
        <v/>
      </c>
      <c r="I549" s="14" t="str">
        <f t="shared" si="2"/>
        <v>29/05</v>
      </c>
      <c r="J549" s="15" t="str">
        <f t="shared" si="3"/>
        <v>Matin</v>
      </c>
    </row>
    <row r="550" ht="14.25" customHeight="1">
      <c r="A550" s="17">
        <v>46171.0</v>
      </c>
      <c r="B550" s="18" t="s">
        <v>54</v>
      </c>
      <c r="C550" s="18" t="s">
        <v>24</v>
      </c>
      <c r="D550" s="19">
        <v>0.40625</v>
      </c>
      <c r="E550" s="19">
        <v>0.444444444444444</v>
      </c>
      <c r="F550" s="12" t="str">
        <f t="shared" si="1"/>
        <v>55</v>
      </c>
      <c r="G550" s="18" t="s">
        <v>23</v>
      </c>
      <c r="H550" s="12" t="str">
        <f t="shared" si="4"/>
        <v/>
      </c>
      <c r="I550" s="14" t="str">
        <f t="shared" si="2"/>
        <v>29/05</v>
      </c>
      <c r="J550" s="15" t="str">
        <f t="shared" si="3"/>
        <v>Matin</v>
      </c>
    </row>
    <row r="551" ht="14.25" customHeight="1">
      <c r="A551" s="17">
        <v>46171.0</v>
      </c>
      <c r="B551" s="18" t="s">
        <v>54</v>
      </c>
      <c r="C551" s="18" t="s">
        <v>24</v>
      </c>
      <c r="D551" s="19">
        <v>0.465277777777778</v>
      </c>
      <c r="E551" s="19">
        <v>0.583333333333333</v>
      </c>
      <c r="F551" s="12" t="str">
        <f t="shared" si="1"/>
        <v>170</v>
      </c>
      <c r="G551" s="18" t="s">
        <v>23</v>
      </c>
      <c r="H551" s="12" t="str">
        <f t="shared" si="4"/>
        <v/>
      </c>
      <c r="I551" s="14" t="str">
        <f t="shared" si="2"/>
        <v>29/05</v>
      </c>
      <c r="J551" s="15" t="str">
        <f t="shared" si="3"/>
        <v>Matin</v>
      </c>
    </row>
    <row r="552" ht="14.25" customHeight="1">
      <c r="A552" s="17">
        <v>46172.0</v>
      </c>
      <c r="B552" s="18" t="s">
        <v>66</v>
      </c>
      <c r="C552" s="18" t="s">
        <v>24</v>
      </c>
      <c r="D552" s="19">
        <v>0.274305555555556</v>
      </c>
      <c r="E552" s="19">
        <v>0.40625</v>
      </c>
      <c r="F552" s="12" t="str">
        <f t="shared" si="1"/>
        <v>190</v>
      </c>
      <c r="G552" s="18" t="s">
        <v>23</v>
      </c>
      <c r="H552" s="12" t="str">
        <f t="shared" si="4"/>
        <v>995</v>
      </c>
      <c r="I552" s="14" t="str">
        <f t="shared" si="2"/>
        <v>30/05</v>
      </c>
      <c r="J552" s="15" t="str">
        <f t="shared" si="3"/>
        <v>Matin</v>
      </c>
    </row>
    <row r="553" ht="14.25" customHeight="1">
      <c r="A553" s="17">
        <v>46172.0</v>
      </c>
      <c r="B553" s="18" t="s">
        <v>66</v>
      </c>
      <c r="C553" s="18" t="s">
        <v>24</v>
      </c>
      <c r="D553" s="19">
        <v>0.409722222222222</v>
      </c>
      <c r="E553" s="19">
        <v>0.473611111111111</v>
      </c>
      <c r="F553" s="12" t="str">
        <f t="shared" si="1"/>
        <v>92</v>
      </c>
      <c r="G553" s="18" t="s">
        <v>23</v>
      </c>
      <c r="H553" s="12" t="str">
        <f t="shared" si="4"/>
        <v/>
      </c>
      <c r="I553" s="14" t="str">
        <f t="shared" si="2"/>
        <v>30/05</v>
      </c>
      <c r="J553" s="15" t="str">
        <f t="shared" si="3"/>
        <v>Matin</v>
      </c>
    </row>
    <row r="554" ht="14.25" customHeight="1">
      <c r="A554" s="17">
        <v>46172.0</v>
      </c>
      <c r="B554" s="18" t="s">
        <v>66</v>
      </c>
      <c r="C554" s="18" t="s">
        <v>24</v>
      </c>
      <c r="D554" s="19">
        <v>0.489583333333333</v>
      </c>
      <c r="E554" s="19">
        <v>0.538194444444444</v>
      </c>
      <c r="F554" s="12" t="str">
        <f t="shared" si="1"/>
        <v>70</v>
      </c>
      <c r="G554" s="18" t="s">
        <v>23</v>
      </c>
      <c r="H554" s="12" t="str">
        <f t="shared" si="4"/>
        <v/>
      </c>
      <c r="I554" s="14" t="str">
        <f t="shared" si="2"/>
        <v>30/05</v>
      </c>
      <c r="J554" s="15" t="str">
        <f t="shared" si="3"/>
        <v>Matin</v>
      </c>
    </row>
    <row r="555" ht="14.25" customHeight="1">
      <c r="A555" s="17">
        <v>46172.0</v>
      </c>
      <c r="B555" s="18" t="s">
        <v>66</v>
      </c>
      <c r="C555" s="18" t="s">
        <v>24</v>
      </c>
      <c r="D555" s="19">
        <v>0.548611111111111</v>
      </c>
      <c r="E555" s="19">
        <v>0.583333333333333</v>
      </c>
      <c r="F555" s="12" t="str">
        <f t="shared" si="1"/>
        <v>50</v>
      </c>
      <c r="G555" s="18" t="s">
        <v>23</v>
      </c>
      <c r="H555" s="12" t="str">
        <f t="shared" si="4"/>
        <v/>
      </c>
      <c r="I555" s="14" t="str">
        <f t="shared" si="2"/>
        <v>30/05</v>
      </c>
      <c r="J555" s="15" t="str">
        <f t="shared" si="3"/>
        <v>Matin</v>
      </c>
    </row>
    <row r="556" ht="14.25" customHeight="1">
      <c r="A556" s="17">
        <v>46173.0</v>
      </c>
      <c r="B556" s="18" t="s">
        <v>54</v>
      </c>
      <c r="C556" s="18" t="s">
        <v>24</v>
      </c>
      <c r="D556" s="19">
        <v>0.260416666666667</v>
      </c>
      <c r="E556" s="19">
        <v>0.333333333333333</v>
      </c>
      <c r="F556" s="12" t="str">
        <f t="shared" si="1"/>
        <v>105</v>
      </c>
      <c r="G556" s="18" t="s">
        <v>23</v>
      </c>
      <c r="H556" s="12" t="str">
        <f t="shared" si="4"/>
        <v>975</v>
      </c>
      <c r="I556" s="14" t="str">
        <f t="shared" si="2"/>
        <v>31/05</v>
      </c>
      <c r="J556" s="15" t="str">
        <f t="shared" si="3"/>
        <v>Matin</v>
      </c>
    </row>
    <row r="557" ht="14.25" customHeight="1">
      <c r="A557" s="17">
        <v>46173.0</v>
      </c>
      <c r="B557" s="18" t="s">
        <v>54</v>
      </c>
      <c r="C557" s="18" t="s">
        <v>24</v>
      </c>
      <c r="D557" s="19">
        <v>0.34375</v>
      </c>
      <c r="E557" s="19">
        <v>0.432638888888889</v>
      </c>
      <c r="F557" s="12" t="str">
        <f t="shared" si="1"/>
        <v>128</v>
      </c>
      <c r="G557" s="18" t="s">
        <v>23</v>
      </c>
      <c r="H557" s="12" t="str">
        <f t="shared" si="4"/>
        <v/>
      </c>
      <c r="I557" s="14" t="str">
        <f t="shared" si="2"/>
        <v>31/05</v>
      </c>
      <c r="J557" s="15" t="str">
        <f t="shared" si="3"/>
        <v>Matin</v>
      </c>
    </row>
    <row r="558" ht="14.25" customHeight="1">
      <c r="A558" s="17">
        <v>46173.0</v>
      </c>
      <c r="B558" s="18" t="s">
        <v>54</v>
      </c>
      <c r="C558" s="18" t="s">
        <v>24</v>
      </c>
      <c r="D558" s="19">
        <v>0.432638888888889</v>
      </c>
      <c r="E558" s="19">
        <v>0.583333333333333</v>
      </c>
      <c r="F558" s="12" t="str">
        <f t="shared" si="1"/>
        <v>217</v>
      </c>
      <c r="G558" s="18" t="s">
        <v>87</v>
      </c>
      <c r="H558" s="12" t="str">
        <f t="shared" si="4"/>
        <v/>
      </c>
      <c r="I558" s="14" t="str">
        <f t="shared" si="2"/>
        <v>31/05</v>
      </c>
      <c r="J558" s="15" t="str">
        <f t="shared" si="3"/>
        <v>Matin</v>
      </c>
    </row>
    <row r="559" ht="14.25" customHeight="1">
      <c r="A559" s="17">
        <v>46174.0</v>
      </c>
      <c r="B559" s="18" t="s">
        <v>66</v>
      </c>
      <c r="C559" s="18" t="s">
        <v>24</v>
      </c>
      <c r="D559" s="19">
        <v>0.590277777777778</v>
      </c>
      <c r="E559" s="19">
        <v>0.652083333333333</v>
      </c>
      <c r="F559" s="12" t="str">
        <f t="shared" si="1"/>
        <v>89</v>
      </c>
      <c r="G559" s="18" t="s">
        <v>23</v>
      </c>
      <c r="H559" s="12" t="str">
        <f t="shared" si="4"/>
        <v>10</v>
      </c>
      <c r="I559" s="14" t="str">
        <f t="shared" si="2"/>
        <v>01/06</v>
      </c>
      <c r="J559" s="15" t="str">
        <f t="shared" si="3"/>
        <v>Après-midi</v>
      </c>
    </row>
    <row r="560" ht="14.25" customHeight="1">
      <c r="A560" s="17">
        <v>46174.0</v>
      </c>
      <c r="B560" s="18" t="s">
        <v>66</v>
      </c>
      <c r="C560" s="18" t="s">
        <v>24</v>
      </c>
      <c r="D560" s="19">
        <v>0.679166666666667</v>
      </c>
      <c r="E560" s="19">
        <v>0.734722222222222</v>
      </c>
      <c r="F560" s="12" t="str">
        <f t="shared" si="1"/>
        <v>80</v>
      </c>
      <c r="G560" s="18" t="s">
        <v>23</v>
      </c>
      <c r="H560" s="12" t="str">
        <f t="shared" si="4"/>
        <v/>
      </c>
      <c r="I560" s="14" t="str">
        <f t="shared" si="2"/>
        <v>01/06</v>
      </c>
      <c r="J560" s="15" t="str">
        <f t="shared" si="3"/>
        <v>Après-midi</v>
      </c>
    </row>
    <row r="561" ht="14.25" customHeight="1">
      <c r="A561" s="17">
        <v>46174.0</v>
      </c>
      <c r="B561" s="18" t="s">
        <v>66</v>
      </c>
      <c r="C561" s="18" t="s">
        <v>24</v>
      </c>
      <c r="D561" s="19">
        <v>0.740972222222222</v>
      </c>
      <c r="E561" s="19">
        <v>0.819444444444444</v>
      </c>
      <c r="F561" s="12" t="str">
        <f t="shared" si="1"/>
        <v>113</v>
      </c>
      <c r="G561" s="18" t="s">
        <v>23</v>
      </c>
      <c r="H561" s="12" t="str">
        <f t="shared" si="4"/>
        <v/>
      </c>
      <c r="I561" s="14" t="str">
        <f t="shared" si="2"/>
        <v>01/06</v>
      </c>
      <c r="J561" s="15" t="str">
        <f t="shared" si="3"/>
        <v>Après-midi</v>
      </c>
    </row>
    <row r="562" ht="14.25" customHeight="1">
      <c r="A562" s="17">
        <v>46174.0</v>
      </c>
      <c r="B562" s="18" t="s">
        <v>66</v>
      </c>
      <c r="C562" s="18" t="s">
        <v>24</v>
      </c>
      <c r="D562" s="19">
        <v>0.822916666666667</v>
      </c>
      <c r="E562" s="19">
        <v>0.872222222222222</v>
      </c>
      <c r="F562" s="12" t="str">
        <f t="shared" si="1"/>
        <v>71</v>
      </c>
      <c r="G562" s="18" t="s">
        <v>23</v>
      </c>
      <c r="H562" s="12" t="str">
        <f t="shared" si="4"/>
        <v/>
      </c>
      <c r="I562" s="14" t="str">
        <f t="shared" si="2"/>
        <v>01/06</v>
      </c>
      <c r="J562" s="15" t="str">
        <f t="shared" si="3"/>
        <v>Après-midi</v>
      </c>
    </row>
    <row r="563" ht="14.25" customHeight="1">
      <c r="A563" s="17">
        <v>46174.0</v>
      </c>
      <c r="B563" s="18" t="s">
        <v>66</v>
      </c>
      <c r="C563" s="18" t="s">
        <v>24</v>
      </c>
      <c r="D563" s="19">
        <v>0.902777777777778</v>
      </c>
      <c r="E563" s="19">
        <v>0.90625</v>
      </c>
      <c r="F563" s="12" t="str">
        <f t="shared" si="1"/>
        <v>5</v>
      </c>
      <c r="G563" s="18" t="s">
        <v>65</v>
      </c>
      <c r="H563" s="12" t="str">
        <f t="shared" si="4"/>
        <v/>
      </c>
      <c r="I563" s="14" t="str">
        <f t="shared" si="2"/>
        <v>01/06</v>
      </c>
      <c r="J563" s="15" t="str">
        <f t="shared" si="3"/>
        <v>Après-midi</v>
      </c>
    </row>
    <row r="564" ht="14.25" customHeight="1">
      <c r="A564" s="17">
        <v>46174.0</v>
      </c>
      <c r="B564" s="18" t="s">
        <v>66</v>
      </c>
      <c r="C564" s="18" t="s">
        <v>24</v>
      </c>
      <c r="D564" s="19">
        <v>0.909722222222222</v>
      </c>
      <c r="E564" s="19">
        <v>0.916666666666667</v>
      </c>
      <c r="F564" s="12" t="str">
        <f t="shared" si="1"/>
        <v>10</v>
      </c>
      <c r="G564" s="18" t="s">
        <v>65</v>
      </c>
      <c r="H564" s="12" t="str">
        <f t="shared" si="4"/>
        <v/>
      </c>
      <c r="I564" s="14" t="str">
        <f t="shared" si="2"/>
        <v>01/06</v>
      </c>
      <c r="J564" s="15" t="str">
        <f t="shared" si="3"/>
        <v>Après-midi</v>
      </c>
    </row>
    <row r="565" ht="14.25" customHeight="1">
      <c r="A565" s="17">
        <v>46174.0</v>
      </c>
      <c r="B565" s="18" t="s">
        <v>54</v>
      </c>
      <c r="C565" s="18" t="s">
        <v>24</v>
      </c>
      <c r="D565" s="19">
        <v>0.918055555555556</v>
      </c>
      <c r="E565" s="19">
        <v>0.923611111111111</v>
      </c>
      <c r="F565" s="12" t="str">
        <f t="shared" si="1"/>
        <v>8</v>
      </c>
      <c r="G565" s="18" t="s">
        <v>65</v>
      </c>
      <c r="H565" s="12" t="str">
        <f t="shared" si="4"/>
        <v>2</v>
      </c>
      <c r="I565" s="14" t="str">
        <f t="shared" si="2"/>
        <v>01/06</v>
      </c>
      <c r="J565" s="15" t="str">
        <f t="shared" si="3"/>
        <v>Nuit</v>
      </c>
    </row>
    <row r="566" ht="14.25" customHeight="1">
      <c r="A566" s="20">
        <v>46174.0</v>
      </c>
      <c r="B566" s="21" t="s">
        <v>54</v>
      </c>
      <c r="C566" s="21" t="s">
        <v>24</v>
      </c>
      <c r="D566" s="22">
        <v>0.944444444444444</v>
      </c>
      <c r="E566" s="22">
        <v>0.0451388888888889</v>
      </c>
      <c r="F566" s="23" t="str">
        <f t="shared" si="1"/>
        <v>145</v>
      </c>
      <c r="G566" s="21" t="s">
        <v>23</v>
      </c>
      <c r="H566" s="12" t="str">
        <f t="shared" si="4"/>
        <v/>
      </c>
      <c r="I566" s="14" t="str">
        <f t="shared" si="2"/>
        <v>01/06</v>
      </c>
      <c r="J566" s="15" t="str">
        <f t="shared" si="3"/>
        <v>Nuit</v>
      </c>
      <c r="K566" s="24"/>
    </row>
    <row r="567" ht="14.25" customHeight="1">
      <c r="A567" s="17">
        <v>46175.0</v>
      </c>
      <c r="B567" s="18" t="s">
        <v>54</v>
      </c>
      <c r="C567" s="18" t="s">
        <v>24</v>
      </c>
      <c r="D567" s="19">
        <v>0.0590277777777778</v>
      </c>
      <c r="E567" s="19">
        <v>0.104166666666667</v>
      </c>
      <c r="F567" s="12" t="str">
        <f t="shared" si="1"/>
        <v>65</v>
      </c>
      <c r="G567" s="18" t="s">
        <v>65</v>
      </c>
      <c r="H567" s="12" t="str">
        <f t="shared" si="4"/>
        <v/>
      </c>
      <c r="I567" s="14" t="str">
        <f t="shared" si="2"/>
        <v>01/06</v>
      </c>
      <c r="J567" s="15" t="str">
        <f t="shared" si="3"/>
        <v>Nuit</v>
      </c>
    </row>
    <row r="568" ht="14.25" customHeight="1">
      <c r="A568" s="17">
        <v>46175.0</v>
      </c>
      <c r="B568" s="18" t="s">
        <v>54</v>
      </c>
      <c r="C568" s="18" t="s">
        <v>24</v>
      </c>
      <c r="D568" s="19">
        <v>0.152777777777778</v>
      </c>
      <c r="E568" s="19">
        <v>0.159722222222222</v>
      </c>
      <c r="F568" s="12" t="str">
        <f t="shared" si="1"/>
        <v>10</v>
      </c>
      <c r="G568" s="18" t="s">
        <v>65</v>
      </c>
      <c r="H568" s="12" t="str">
        <f t="shared" si="4"/>
        <v/>
      </c>
      <c r="I568" s="14" t="str">
        <f t="shared" si="2"/>
        <v>01/06</v>
      </c>
      <c r="J568" s="15" t="str">
        <f t="shared" si="3"/>
        <v>Nuit</v>
      </c>
    </row>
    <row r="569" ht="14.25" customHeight="1">
      <c r="A569" s="17">
        <v>46175.0</v>
      </c>
      <c r="B569" s="18" t="s">
        <v>66</v>
      </c>
      <c r="C569" s="18" t="s">
        <v>24</v>
      </c>
      <c r="D569" s="19">
        <v>0.208333333333333</v>
      </c>
      <c r="E569" s="19">
        <v>0.25</v>
      </c>
      <c r="F569" s="12" t="str">
        <f t="shared" si="1"/>
        <v>60</v>
      </c>
      <c r="G569" s="18" t="s">
        <v>65</v>
      </c>
      <c r="H569" s="12" t="str">
        <f t="shared" si="4"/>
        <v>70</v>
      </c>
      <c r="I569" s="14" t="str">
        <f t="shared" si="2"/>
        <v>01/06</v>
      </c>
      <c r="J569" s="15" t="str">
        <f t="shared" si="3"/>
        <v>Nuit</v>
      </c>
    </row>
    <row r="570" ht="14.25" customHeight="1">
      <c r="A570" s="17">
        <v>46175.0</v>
      </c>
      <c r="B570" s="18" t="s">
        <v>66</v>
      </c>
      <c r="C570" s="18" t="s">
        <v>24</v>
      </c>
      <c r="D570" s="19">
        <v>0.3125</v>
      </c>
      <c r="E570" s="19">
        <v>0.322916666666667</v>
      </c>
      <c r="F570" s="12" t="str">
        <f t="shared" si="1"/>
        <v>15</v>
      </c>
      <c r="G570" s="18" t="s">
        <v>65</v>
      </c>
      <c r="H570" s="12" t="str">
        <f t="shared" si="4"/>
        <v/>
      </c>
      <c r="I570" s="14" t="str">
        <f t="shared" si="2"/>
        <v>02/06</v>
      </c>
      <c r="J570" s="15" t="str">
        <f t="shared" si="3"/>
        <v>Matin</v>
      </c>
    </row>
    <row r="571" ht="14.25" customHeight="1">
      <c r="A571" s="17">
        <v>46175.0</v>
      </c>
      <c r="B571" s="18" t="s">
        <v>66</v>
      </c>
      <c r="C571" s="18" t="s">
        <v>24</v>
      </c>
      <c r="D571" s="19">
        <v>0.340277777777778</v>
      </c>
      <c r="E571" s="19">
        <v>0.416666666666667</v>
      </c>
      <c r="F571" s="12" t="str">
        <f t="shared" si="1"/>
        <v>110</v>
      </c>
      <c r="G571" s="18" t="s">
        <v>23</v>
      </c>
      <c r="H571" s="12" t="str">
        <f t="shared" si="4"/>
        <v/>
      </c>
      <c r="I571" s="14" t="str">
        <f t="shared" si="2"/>
        <v>02/06</v>
      </c>
      <c r="J571" s="15" t="str">
        <f t="shared" si="3"/>
        <v>Matin</v>
      </c>
    </row>
    <row r="572" ht="14.25" customHeight="1">
      <c r="A572" s="17">
        <v>46175.0</v>
      </c>
      <c r="B572" s="18" t="s">
        <v>66</v>
      </c>
      <c r="C572" s="18" t="s">
        <v>24</v>
      </c>
      <c r="D572" s="19">
        <v>0.444444444444444</v>
      </c>
      <c r="E572" s="19">
        <v>0.451388888888889</v>
      </c>
      <c r="F572" s="12" t="str">
        <f t="shared" si="1"/>
        <v>10</v>
      </c>
      <c r="G572" s="18" t="s">
        <v>23</v>
      </c>
      <c r="H572" s="12" t="str">
        <f t="shared" si="4"/>
        <v/>
      </c>
      <c r="I572" s="14" t="str">
        <f t="shared" si="2"/>
        <v>02/06</v>
      </c>
      <c r="J572" s="15" t="str">
        <f t="shared" si="3"/>
        <v>Matin</v>
      </c>
    </row>
    <row r="573" ht="14.25" customHeight="1">
      <c r="A573" s="17">
        <v>46175.0</v>
      </c>
      <c r="B573" s="18" t="s">
        <v>66</v>
      </c>
      <c r="C573" s="18" t="s">
        <v>24</v>
      </c>
      <c r="D573" s="19">
        <v>0.458333333333333</v>
      </c>
      <c r="E573" s="19">
        <v>0.548611111111111</v>
      </c>
      <c r="F573" s="12" t="str">
        <f t="shared" si="1"/>
        <v>130</v>
      </c>
      <c r="G573" s="18" t="s">
        <v>65</v>
      </c>
      <c r="H573" s="12" t="str">
        <f t="shared" si="4"/>
        <v/>
      </c>
      <c r="I573" s="14" t="str">
        <f t="shared" si="2"/>
        <v>02/06</v>
      </c>
      <c r="J573" s="15" t="str">
        <f t="shared" si="3"/>
        <v>Matin</v>
      </c>
    </row>
    <row r="574" ht="14.25" customHeight="1">
      <c r="A574" s="17">
        <v>46175.0</v>
      </c>
      <c r="B574" s="18" t="s">
        <v>66</v>
      </c>
      <c r="C574" s="18" t="s">
        <v>24</v>
      </c>
      <c r="D574" s="19">
        <v>0.5625</v>
      </c>
      <c r="E574" s="19">
        <v>0.583333333333333</v>
      </c>
      <c r="F574" s="12" t="str">
        <f t="shared" si="1"/>
        <v>30</v>
      </c>
      <c r="G574" s="18" t="s">
        <v>23</v>
      </c>
      <c r="H574" s="12" t="str">
        <f t="shared" si="4"/>
        <v/>
      </c>
      <c r="I574" s="14" t="str">
        <f t="shared" si="2"/>
        <v>02/06</v>
      </c>
      <c r="J574" s="15" t="str">
        <f t="shared" si="3"/>
        <v>Matin</v>
      </c>
    </row>
    <row r="575" ht="14.25" customHeight="1">
      <c r="A575" s="17">
        <v>46175.0</v>
      </c>
      <c r="B575" s="18" t="s">
        <v>54</v>
      </c>
      <c r="C575" s="18" t="s">
        <v>24</v>
      </c>
      <c r="D575" s="19">
        <v>0.614583333333333</v>
      </c>
      <c r="E575" s="19">
        <v>0.661805555555556</v>
      </c>
      <c r="F575" s="12" t="str">
        <f t="shared" si="1"/>
        <v>68</v>
      </c>
      <c r="G575" s="18" t="s">
        <v>23</v>
      </c>
      <c r="H575" s="12" t="str">
        <f t="shared" si="4"/>
        <v>45</v>
      </c>
      <c r="I575" s="14" t="str">
        <f t="shared" si="2"/>
        <v>02/06</v>
      </c>
      <c r="J575" s="15" t="str">
        <f t="shared" si="3"/>
        <v>Après-midi</v>
      </c>
    </row>
    <row r="576" ht="14.25" customHeight="1">
      <c r="A576" s="17">
        <v>46175.0</v>
      </c>
      <c r="B576" s="18" t="s">
        <v>54</v>
      </c>
      <c r="C576" s="18" t="s">
        <v>24</v>
      </c>
      <c r="D576" s="19">
        <v>0.673611111111111</v>
      </c>
      <c r="E576" s="19">
        <v>0.747916666666667</v>
      </c>
      <c r="F576" s="12" t="str">
        <f t="shared" si="1"/>
        <v>107</v>
      </c>
      <c r="G576" s="18" t="s">
        <v>23</v>
      </c>
      <c r="H576" s="12" t="str">
        <f t="shared" si="4"/>
        <v/>
      </c>
      <c r="I576" s="14" t="str">
        <f t="shared" si="2"/>
        <v>02/06</v>
      </c>
      <c r="J576" s="15" t="str">
        <f t="shared" si="3"/>
        <v>Après-midi</v>
      </c>
    </row>
    <row r="577" ht="14.25" customHeight="1">
      <c r="A577" s="17">
        <v>46175.0</v>
      </c>
      <c r="B577" s="18" t="s">
        <v>54</v>
      </c>
      <c r="C577" s="18" t="s">
        <v>24</v>
      </c>
      <c r="D577" s="19">
        <v>0.753472222222222</v>
      </c>
      <c r="E577" s="19">
        <v>0.835416666666667</v>
      </c>
      <c r="F577" s="12" t="str">
        <f t="shared" si="1"/>
        <v>118</v>
      </c>
      <c r="G577" s="18" t="s">
        <v>23</v>
      </c>
      <c r="H577" s="12" t="str">
        <f t="shared" si="4"/>
        <v/>
      </c>
      <c r="I577" s="14" t="str">
        <f t="shared" si="2"/>
        <v>02/06</v>
      </c>
      <c r="J577" s="15" t="str">
        <f t="shared" si="3"/>
        <v>Après-midi</v>
      </c>
    </row>
    <row r="578" ht="14.25" customHeight="1">
      <c r="A578" s="17">
        <v>46175.0</v>
      </c>
      <c r="B578" s="18" t="s">
        <v>54</v>
      </c>
      <c r="C578" s="18" t="s">
        <v>24</v>
      </c>
      <c r="D578" s="19">
        <v>0.854166666666667</v>
      </c>
      <c r="E578" s="19">
        <v>0.916666666666667</v>
      </c>
      <c r="F578" s="12" t="str">
        <f t="shared" si="1"/>
        <v>90</v>
      </c>
      <c r="G578" s="18" t="s">
        <v>23</v>
      </c>
      <c r="H578" s="12" t="str">
        <f t="shared" si="4"/>
        <v/>
      </c>
      <c r="I578" s="14" t="str">
        <f t="shared" si="2"/>
        <v>02/06</v>
      </c>
      <c r="J578" s="15" t="str">
        <f t="shared" si="3"/>
        <v>Après-midi</v>
      </c>
    </row>
    <row r="579" ht="14.25" customHeight="1">
      <c r="A579" s="17">
        <v>46176.0</v>
      </c>
      <c r="B579" s="18" t="s">
        <v>66</v>
      </c>
      <c r="C579" s="18" t="s">
        <v>24</v>
      </c>
      <c r="D579" s="19">
        <v>0.25</v>
      </c>
      <c r="E579" s="19">
        <v>0.298611111111111</v>
      </c>
      <c r="F579" s="12" t="str">
        <f t="shared" si="1"/>
        <v>70</v>
      </c>
      <c r="G579" s="18" t="s">
        <v>65</v>
      </c>
      <c r="H579" s="12" t="str">
        <f t="shared" si="4"/>
        <v>480</v>
      </c>
      <c r="I579" s="14" t="str">
        <f t="shared" si="2"/>
        <v>03/06</v>
      </c>
      <c r="J579" s="15" t="str">
        <f t="shared" si="3"/>
        <v>Matin</v>
      </c>
    </row>
    <row r="580" ht="14.25" customHeight="1">
      <c r="A580" s="17">
        <v>46176.0</v>
      </c>
      <c r="B580" s="18" t="s">
        <v>66</v>
      </c>
      <c r="C580" s="18" t="s">
        <v>24</v>
      </c>
      <c r="D580" s="19">
        <v>0.3125</v>
      </c>
      <c r="E580" s="19">
        <v>0.368055555555556</v>
      </c>
      <c r="F580" s="12" t="str">
        <f t="shared" si="1"/>
        <v>80</v>
      </c>
      <c r="G580" s="18" t="s">
        <v>71</v>
      </c>
      <c r="H580" s="12" t="str">
        <f t="shared" si="4"/>
        <v/>
      </c>
      <c r="I580" s="14" t="str">
        <f t="shared" si="2"/>
        <v>03/06</v>
      </c>
      <c r="J580" s="15" t="str">
        <f t="shared" si="3"/>
        <v>Matin</v>
      </c>
    </row>
    <row r="581" ht="14.25" customHeight="1">
      <c r="A581" s="17">
        <v>46176.0</v>
      </c>
      <c r="B581" s="18" t="s">
        <v>66</v>
      </c>
      <c r="C581" s="18" t="s">
        <v>24</v>
      </c>
      <c r="D581" s="19">
        <v>0.375</v>
      </c>
      <c r="E581" s="19">
        <v>0.583333333333333</v>
      </c>
      <c r="F581" s="12" t="str">
        <f t="shared" si="1"/>
        <v>300</v>
      </c>
      <c r="G581" s="18" t="s">
        <v>23</v>
      </c>
      <c r="H581" s="12" t="str">
        <f t="shared" si="4"/>
        <v/>
      </c>
      <c r="I581" s="14" t="str">
        <f t="shared" si="2"/>
        <v>03/06</v>
      </c>
      <c r="J581" s="15" t="str">
        <f t="shared" si="3"/>
        <v>Matin</v>
      </c>
    </row>
    <row r="582" ht="14.25" customHeight="1">
      <c r="A582" s="17">
        <v>46176.0</v>
      </c>
      <c r="B582" s="18" t="s">
        <v>66</v>
      </c>
      <c r="C582" s="18" t="s">
        <v>24</v>
      </c>
      <c r="D582" s="19">
        <v>0.708333333333333</v>
      </c>
      <c r="E582" s="19">
        <v>0.784722222222222</v>
      </c>
      <c r="F582" s="12" t="str">
        <f t="shared" si="1"/>
        <v>110</v>
      </c>
      <c r="G582" s="18" t="s">
        <v>23</v>
      </c>
      <c r="H582" s="12" t="str">
        <f t="shared" si="4"/>
        <v/>
      </c>
      <c r="I582" s="14" t="str">
        <f t="shared" si="2"/>
        <v>03/06</v>
      </c>
      <c r="J582" s="15" t="str">
        <f t="shared" si="3"/>
        <v>Après-midi</v>
      </c>
    </row>
    <row r="583" ht="14.25" customHeight="1">
      <c r="A583" s="17">
        <v>46176.0</v>
      </c>
      <c r="B583" s="18" t="s">
        <v>66</v>
      </c>
      <c r="C583" s="18" t="s">
        <v>24</v>
      </c>
      <c r="D583" s="19">
        <v>0.819444444444444</v>
      </c>
      <c r="E583" s="19">
        <v>0.916666666666667</v>
      </c>
      <c r="F583" s="12" t="str">
        <f t="shared" si="1"/>
        <v>140</v>
      </c>
      <c r="G583" s="18" t="s">
        <v>23</v>
      </c>
      <c r="H583" s="12" t="str">
        <f t="shared" si="4"/>
        <v/>
      </c>
      <c r="I583" s="14" t="str">
        <f t="shared" si="2"/>
        <v>03/06</v>
      </c>
      <c r="J583" s="15" t="str">
        <f t="shared" si="3"/>
        <v>Après-midi</v>
      </c>
    </row>
    <row r="584" ht="14.25" customHeight="1">
      <c r="A584" s="17">
        <v>46177.0</v>
      </c>
      <c r="B584" s="18" t="s">
        <v>54</v>
      </c>
      <c r="C584" s="18" t="s">
        <v>24</v>
      </c>
      <c r="D584" s="19">
        <v>0.59375</v>
      </c>
      <c r="E584" s="19">
        <v>0.6625</v>
      </c>
      <c r="F584" s="12" t="str">
        <f t="shared" si="1"/>
        <v>99</v>
      </c>
      <c r="G584" s="18" t="s">
        <v>23</v>
      </c>
      <c r="H584" s="12" t="str">
        <f t="shared" si="4"/>
        <v>975</v>
      </c>
      <c r="I584" s="14" t="str">
        <f t="shared" si="2"/>
        <v>04/06</v>
      </c>
      <c r="J584" s="15" t="str">
        <f t="shared" si="3"/>
        <v>Après-midi</v>
      </c>
    </row>
    <row r="585" ht="14.25" customHeight="1">
      <c r="A585" s="17">
        <v>46177.0</v>
      </c>
      <c r="B585" s="18" t="s">
        <v>66</v>
      </c>
      <c r="C585" s="18" t="s">
        <v>24</v>
      </c>
      <c r="D585" s="19">
        <v>0.666666666666667</v>
      </c>
      <c r="E585" s="19">
        <v>0.758333333333333</v>
      </c>
      <c r="F585" s="12" t="str">
        <f t="shared" si="1"/>
        <v>132</v>
      </c>
      <c r="G585" s="18" t="s">
        <v>23</v>
      </c>
      <c r="H585" s="12" t="str">
        <f t="shared" si="4"/>
        <v>6</v>
      </c>
      <c r="I585" s="14" t="str">
        <f t="shared" si="2"/>
        <v>04/06</v>
      </c>
      <c r="J585" s="15" t="str">
        <f t="shared" si="3"/>
        <v>Après-midi</v>
      </c>
    </row>
    <row r="586" ht="14.25" customHeight="1">
      <c r="A586" s="17">
        <v>46177.0</v>
      </c>
      <c r="B586" s="18" t="s">
        <v>66</v>
      </c>
      <c r="C586" s="18" t="s">
        <v>24</v>
      </c>
      <c r="D586" s="19">
        <v>0.767361111111111</v>
      </c>
      <c r="E586" s="19">
        <v>0.864583333333333</v>
      </c>
      <c r="F586" s="12" t="str">
        <f t="shared" si="1"/>
        <v>140</v>
      </c>
      <c r="G586" s="18" t="s">
        <v>23</v>
      </c>
      <c r="H586" s="12" t="str">
        <f t="shared" si="4"/>
        <v/>
      </c>
      <c r="I586" s="14" t="str">
        <f t="shared" si="2"/>
        <v>04/06</v>
      </c>
      <c r="J586" s="15" t="str">
        <f t="shared" si="3"/>
        <v>Après-midi</v>
      </c>
    </row>
    <row r="587" ht="14.25" customHeight="1">
      <c r="A587" s="17">
        <v>46177.0</v>
      </c>
      <c r="B587" s="18" t="s">
        <v>66</v>
      </c>
      <c r="C587" s="18" t="s">
        <v>24</v>
      </c>
      <c r="D587" s="19">
        <v>0.878472222222222</v>
      </c>
      <c r="E587" s="19">
        <v>0.916666666666667</v>
      </c>
      <c r="F587" s="12" t="str">
        <f t="shared" si="1"/>
        <v>55</v>
      </c>
      <c r="G587" s="18" t="s">
        <v>23</v>
      </c>
      <c r="H587" s="12" t="str">
        <f t="shared" si="4"/>
        <v/>
      </c>
      <c r="I587" s="14" t="str">
        <f t="shared" si="2"/>
        <v>04/06</v>
      </c>
      <c r="J587" s="15" t="str">
        <f t="shared" si="3"/>
        <v>Après-midi</v>
      </c>
    </row>
    <row r="588" ht="14.25" customHeight="1">
      <c r="A588" s="17">
        <v>46177.0</v>
      </c>
      <c r="B588" s="18" t="s">
        <v>54</v>
      </c>
      <c r="C588" s="18" t="s">
        <v>24</v>
      </c>
      <c r="D588" s="19">
        <v>0.25</v>
      </c>
      <c r="E588" s="19">
        <v>0.305555555555556</v>
      </c>
      <c r="F588" s="12" t="str">
        <f t="shared" si="1"/>
        <v>80</v>
      </c>
      <c r="G588" s="18" t="s">
        <v>23</v>
      </c>
      <c r="H588" s="12" t="str">
        <f t="shared" si="4"/>
        <v>480</v>
      </c>
      <c r="I588" s="14" t="str">
        <f t="shared" si="2"/>
        <v>04/06</v>
      </c>
      <c r="J588" s="15" t="str">
        <f t="shared" si="3"/>
        <v>Matin</v>
      </c>
    </row>
    <row r="589" ht="14.25" customHeight="1">
      <c r="A589" s="17">
        <v>46177.0</v>
      </c>
      <c r="B589" s="18" t="s">
        <v>54</v>
      </c>
      <c r="C589" s="18" t="s">
        <v>24</v>
      </c>
      <c r="D589" s="19">
        <v>0.319444444444444</v>
      </c>
      <c r="E589" s="19">
        <v>0.444444444444444</v>
      </c>
      <c r="F589" s="12" t="str">
        <f t="shared" si="1"/>
        <v>180</v>
      </c>
      <c r="G589" s="18" t="s">
        <v>23</v>
      </c>
      <c r="H589" s="12" t="str">
        <f t="shared" si="4"/>
        <v/>
      </c>
      <c r="I589" s="14" t="str">
        <f t="shared" si="2"/>
        <v>04/06</v>
      </c>
      <c r="J589" s="15" t="str">
        <f t="shared" si="3"/>
        <v>Matin</v>
      </c>
    </row>
    <row r="590" ht="14.25" customHeight="1">
      <c r="A590" s="17">
        <v>46177.0</v>
      </c>
      <c r="B590" s="18" t="s">
        <v>54</v>
      </c>
      <c r="C590" s="18" t="s">
        <v>24</v>
      </c>
      <c r="D590" s="19">
        <v>0.465277777777778</v>
      </c>
      <c r="E590" s="19">
        <v>0.5625</v>
      </c>
      <c r="F590" s="12" t="str">
        <f t="shared" si="1"/>
        <v>140</v>
      </c>
      <c r="G590" s="18" t="s">
        <v>23</v>
      </c>
      <c r="H590" s="12" t="str">
        <f t="shared" si="4"/>
        <v/>
      </c>
      <c r="I590" s="14" t="str">
        <f t="shared" si="2"/>
        <v>04/06</v>
      </c>
      <c r="J590" s="15" t="str">
        <f t="shared" si="3"/>
        <v>Matin</v>
      </c>
    </row>
    <row r="591" ht="14.25" customHeight="1">
      <c r="A591" s="17">
        <v>46178.0</v>
      </c>
      <c r="B591" s="18" t="s">
        <v>66</v>
      </c>
      <c r="C591" s="18" t="s">
        <v>24</v>
      </c>
      <c r="D591" s="19">
        <v>0.616666666666667</v>
      </c>
      <c r="E591" s="19">
        <v>0.697222222222222</v>
      </c>
      <c r="F591" s="12" t="str">
        <f t="shared" si="1"/>
        <v>116</v>
      </c>
      <c r="G591" s="18" t="s">
        <v>23</v>
      </c>
      <c r="H591" s="12" t="str">
        <f t="shared" si="4"/>
        <v>78</v>
      </c>
      <c r="I591" s="14" t="str">
        <f t="shared" si="2"/>
        <v>05/06</v>
      </c>
      <c r="J591" s="15" t="str">
        <f t="shared" si="3"/>
        <v>Après-midi</v>
      </c>
    </row>
    <row r="592" ht="14.25" customHeight="1">
      <c r="A592" s="17">
        <v>46178.0</v>
      </c>
      <c r="B592" s="18" t="s">
        <v>66</v>
      </c>
      <c r="C592" s="18" t="s">
        <v>24</v>
      </c>
      <c r="D592" s="19">
        <v>0.697916666666667</v>
      </c>
      <c r="E592" s="19">
        <v>0.786805555555556</v>
      </c>
      <c r="F592" s="12" t="str">
        <f t="shared" si="1"/>
        <v>128</v>
      </c>
      <c r="G592" s="18" t="s">
        <v>23</v>
      </c>
      <c r="H592" s="12" t="str">
        <f t="shared" si="4"/>
        <v/>
      </c>
      <c r="I592" s="14" t="str">
        <f t="shared" si="2"/>
        <v>05/06</v>
      </c>
      <c r="J592" s="15" t="str">
        <f t="shared" si="3"/>
        <v>Après-midi</v>
      </c>
    </row>
    <row r="593" ht="14.25" customHeight="1">
      <c r="A593" s="17">
        <v>46178.0</v>
      </c>
      <c r="B593" s="18" t="s">
        <v>66</v>
      </c>
      <c r="C593" s="18" t="s">
        <v>24</v>
      </c>
      <c r="D593" s="19">
        <v>0.784722222222222</v>
      </c>
      <c r="E593" s="19">
        <v>0.856944444444444</v>
      </c>
      <c r="F593" s="12" t="str">
        <f t="shared" si="1"/>
        <v>104</v>
      </c>
      <c r="G593" s="18" t="s">
        <v>23</v>
      </c>
      <c r="H593" s="12" t="str">
        <f t="shared" si="4"/>
        <v/>
      </c>
      <c r="I593" s="14" t="str">
        <f t="shared" si="2"/>
        <v>05/06</v>
      </c>
      <c r="J593" s="15" t="str">
        <f t="shared" si="3"/>
        <v>Après-midi</v>
      </c>
    </row>
    <row r="594" ht="14.25" customHeight="1">
      <c r="A594" s="17">
        <v>46178.0</v>
      </c>
      <c r="B594" s="18" t="s">
        <v>66</v>
      </c>
      <c r="C594" s="18" t="s">
        <v>24</v>
      </c>
      <c r="D594" s="19">
        <v>0.864583333333333</v>
      </c>
      <c r="E594" s="19">
        <v>0.916666666666667</v>
      </c>
      <c r="F594" s="12" t="str">
        <f t="shared" si="1"/>
        <v>75</v>
      </c>
      <c r="G594" s="18" t="s">
        <v>23</v>
      </c>
      <c r="H594" s="12" t="str">
        <f t="shared" si="4"/>
        <v/>
      </c>
      <c r="I594" s="14" t="str">
        <f t="shared" si="2"/>
        <v>05/06</v>
      </c>
      <c r="J594" s="15" t="str">
        <f t="shared" si="3"/>
        <v>Après-midi</v>
      </c>
    </row>
    <row r="595" ht="14.25" customHeight="1">
      <c r="A595" s="17">
        <v>46179.0</v>
      </c>
      <c r="B595" s="18" t="s">
        <v>54</v>
      </c>
      <c r="C595" s="18" t="s">
        <v>24</v>
      </c>
      <c r="D595" s="19">
        <v>0.25</v>
      </c>
      <c r="E595" s="19">
        <v>0.284722222222222</v>
      </c>
      <c r="F595" s="12" t="str">
        <f t="shared" si="1"/>
        <v>50</v>
      </c>
      <c r="G595" s="18" t="s">
        <v>65</v>
      </c>
      <c r="H595" s="12" t="str">
        <f t="shared" si="4"/>
        <v>480</v>
      </c>
      <c r="I595" s="14" t="str">
        <f t="shared" si="2"/>
        <v>06/06</v>
      </c>
      <c r="J595" s="15" t="str">
        <f t="shared" si="3"/>
        <v>Matin</v>
      </c>
    </row>
    <row r="596" ht="14.25" customHeight="1">
      <c r="A596" s="17">
        <v>46179.0</v>
      </c>
      <c r="B596" s="18" t="s">
        <v>54</v>
      </c>
      <c r="C596" s="18" t="s">
        <v>24</v>
      </c>
      <c r="D596" s="19">
        <v>0.288194444444444</v>
      </c>
      <c r="E596" s="19">
        <v>0.34375</v>
      </c>
      <c r="F596" s="12" t="str">
        <f t="shared" si="1"/>
        <v>80</v>
      </c>
      <c r="G596" s="18" t="s">
        <v>65</v>
      </c>
      <c r="H596" s="12" t="str">
        <f t="shared" si="4"/>
        <v/>
      </c>
      <c r="I596" s="14" t="str">
        <f t="shared" si="2"/>
        <v>06/06</v>
      </c>
      <c r="J596" s="15" t="str">
        <f t="shared" si="3"/>
        <v>Matin</v>
      </c>
    </row>
    <row r="597" ht="14.25" customHeight="1">
      <c r="A597" s="17">
        <v>46179.0</v>
      </c>
      <c r="B597" s="18" t="s">
        <v>54</v>
      </c>
      <c r="C597" s="18" t="s">
        <v>24</v>
      </c>
      <c r="D597" s="19">
        <v>0.347222222222222</v>
      </c>
      <c r="E597" s="19">
        <v>0.479166666666667</v>
      </c>
      <c r="F597" s="12" t="str">
        <f t="shared" si="1"/>
        <v>190</v>
      </c>
      <c r="G597" s="18" t="s">
        <v>23</v>
      </c>
      <c r="H597" s="12" t="str">
        <f t="shared" si="4"/>
        <v/>
      </c>
      <c r="I597" s="14" t="str">
        <f t="shared" si="2"/>
        <v>06/06</v>
      </c>
      <c r="J597" s="15" t="str">
        <f t="shared" si="3"/>
        <v>Matin</v>
      </c>
    </row>
    <row r="598" ht="14.25" customHeight="1">
      <c r="A598" s="17">
        <v>46179.0</v>
      </c>
      <c r="B598" s="18" t="s">
        <v>54</v>
      </c>
      <c r="C598" s="18" t="s">
        <v>24</v>
      </c>
      <c r="D598" s="19">
        <v>0.489583333333333</v>
      </c>
      <c r="E598" s="19">
        <v>0.583333333333333</v>
      </c>
      <c r="F598" s="12" t="str">
        <f t="shared" si="1"/>
        <v>135</v>
      </c>
      <c r="G598" s="18" t="s">
        <v>23</v>
      </c>
      <c r="H598" s="12" t="str">
        <f t="shared" si="4"/>
        <v/>
      </c>
      <c r="I598" s="14" t="str">
        <f t="shared" si="2"/>
        <v>06/06</v>
      </c>
      <c r="J598" s="15" t="str">
        <f t="shared" si="3"/>
        <v>Matin</v>
      </c>
    </row>
    <row r="599" ht="14.25" customHeight="1">
      <c r="A599" s="17">
        <v>46179.0</v>
      </c>
      <c r="B599" s="18" t="s">
        <v>66</v>
      </c>
      <c r="C599" s="18" t="s">
        <v>24</v>
      </c>
      <c r="D599" s="19">
        <v>0.621527777777778</v>
      </c>
      <c r="E599" s="19">
        <v>0.666666666666667</v>
      </c>
      <c r="F599" s="12" t="str">
        <f t="shared" si="1"/>
        <v>65</v>
      </c>
      <c r="G599" s="18" t="s">
        <v>23</v>
      </c>
      <c r="H599" s="12" t="str">
        <f t="shared" si="4"/>
        <v>55</v>
      </c>
      <c r="I599" s="14" t="str">
        <f t="shared" si="2"/>
        <v>06/06</v>
      </c>
      <c r="J599" s="15" t="str">
        <f t="shared" si="3"/>
        <v>Après-midi</v>
      </c>
    </row>
    <row r="600" ht="14.25" customHeight="1">
      <c r="A600" s="17">
        <v>46179.0</v>
      </c>
      <c r="B600" s="18" t="s">
        <v>66</v>
      </c>
      <c r="C600" s="18" t="s">
        <v>24</v>
      </c>
      <c r="D600" s="19">
        <v>0.673611111111111</v>
      </c>
      <c r="E600" s="19">
        <v>0.756944444444444</v>
      </c>
      <c r="F600" s="12" t="str">
        <f t="shared" si="1"/>
        <v>120</v>
      </c>
      <c r="G600" s="18" t="s">
        <v>23</v>
      </c>
      <c r="H600" s="12" t="str">
        <f t="shared" si="4"/>
        <v/>
      </c>
      <c r="I600" s="14" t="str">
        <f t="shared" si="2"/>
        <v>06/06</v>
      </c>
      <c r="J600" s="15" t="str">
        <f t="shared" si="3"/>
        <v>Après-midi</v>
      </c>
    </row>
    <row r="601" ht="14.25" customHeight="1">
      <c r="A601" s="17">
        <v>46179.0</v>
      </c>
      <c r="B601" s="18" t="s">
        <v>66</v>
      </c>
      <c r="C601" s="18" t="s">
        <v>24</v>
      </c>
      <c r="D601" s="19">
        <v>0.767361111111111</v>
      </c>
      <c r="E601" s="19">
        <v>0.840972222222222</v>
      </c>
      <c r="F601" s="12" t="str">
        <f t="shared" si="1"/>
        <v>106</v>
      </c>
      <c r="G601" s="18" t="s">
        <v>23</v>
      </c>
      <c r="H601" s="12" t="str">
        <f t="shared" si="4"/>
        <v/>
      </c>
      <c r="I601" s="14" t="str">
        <f t="shared" si="2"/>
        <v>06/06</v>
      </c>
      <c r="J601" s="15" t="str">
        <f t="shared" si="3"/>
        <v>Après-midi</v>
      </c>
    </row>
    <row r="602" ht="14.25" customHeight="1">
      <c r="A602" s="17">
        <v>46179.0</v>
      </c>
      <c r="B602" s="18" t="s">
        <v>66</v>
      </c>
      <c r="C602" s="18" t="s">
        <v>24</v>
      </c>
      <c r="D602" s="19">
        <v>0.847222222222222</v>
      </c>
      <c r="E602" s="19">
        <v>0.890277777777778</v>
      </c>
      <c r="F602" s="12" t="str">
        <f t="shared" si="1"/>
        <v>62</v>
      </c>
      <c r="G602" s="18" t="s">
        <v>23</v>
      </c>
      <c r="H602" s="12" t="str">
        <f t="shared" si="4"/>
        <v/>
      </c>
      <c r="I602" s="14" t="str">
        <f t="shared" si="2"/>
        <v>06/06</v>
      </c>
      <c r="J602" s="15" t="str">
        <f t="shared" si="3"/>
        <v>Après-midi</v>
      </c>
    </row>
    <row r="603" ht="14.25" customHeight="1">
      <c r="A603" s="17">
        <v>46179.0</v>
      </c>
      <c r="B603" s="18" t="s">
        <v>66</v>
      </c>
      <c r="C603" s="18" t="s">
        <v>24</v>
      </c>
      <c r="D603" s="19">
        <v>0.895833333333333</v>
      </c>
      <c r="E603" s="19">
        <v>0.916666666666667</v>
      </c>
      <c r="F603" s="12" t="str">
        <f t="shared" si="1"/>
        <v>30</v>
      </c>
      <c r="G603" s="18" t="s">
        <v>23</v>
      </c>
      <c r="H603" s="12" t="str">
        <f t="shared" si="4"/>
        <v/>
      </c>
      <c r="I603" s="14" t="str">
        <f t="shared" si="2"/>
        <v>06/06</v>
      </c>
      <c r="J603" s="15" t="str">
        <f t="shared" si="3"/>
        <v>Après-midi</v>
      </c>
    </row>
    <row r="604" ht="14.25" customHeight="1">
      <c r="A604" s="17">
        <v>46180.0</v>
      </c>
      <c r="B604" s="18" t="s">
        <v>66</v>
      </c>
      <c r="C604" s="18" t="s">
        <v>24</v>
      </c>
      <c r="D604" s="19">
        <v>0.3125</v>
      </c>
      <c r="E604" s="19">
        <v>0.371527777777778</v>
      </c>
      <c r="F604" s="12" t="str">
        <f t="shared" si="1"/>
        <v>85</v>
      </c>
      <c r="G604" s="18" t="s">
        <v>23</v>
      </c>
      <c r="H604" s="12" t="str">
        <f t="shared" si="4"/>
        <v/>
      </c>
      <c r="I604" s="14" t="str">
        <f t="shared" si="2"/>
        <v>07/06</v>
      </c>
      <c r="J604" s="15" t="str">
        <f t="shared" si="3"/>
        <v>Matin</v>
      </c>
    </row>
    <row r="605" ht="14.25" customHeight="1">
      <c r="A605" s="17">
        <v>46180.0</v>
      </c>
      <c r="B605" s="18" t="s">
        <v>66</v>
      </c>
      <c r="C605" s="18" t="s">
        <v>24</v>
      </c>
      <c r="D605" s="19">
        <v>0.381944444444444</v>
      </c>
      <c r="E605" s="19">
        <v>0.493055555555556</v>
      </c>
      <c r="F605" s="12" t="str">
        <f t="shared" si="1"/>
        <v>160</v>
      </c>
      <c r="G605" s="18" t="s">
        <v>23</v>
      </c>
      <c r="H605" s="12" t="str">
        <f t="shared" si="4"/>
        <v/>
      </c>
      <c r="I605" s="14" t="str">
        <f t="shared" si="2"/>
        <v>07/06</v>
      </c>
      <c r="J605" s="15" t="str">
        <f t="shared" si="3"/>
        <v>Matin</v>
      </c>
    </row>
    <row r="606" ht="14.25" customHeight="1">
      <c r="A606" s="17">
        <v>46180.0</v>
      </c>
      <c r="B606" s="18" t="s">
        <v>66</v>
      </c>
      <c r="C606" s="18" t="s">
        <v>24</v>
      </c>
      <c r="D606" s="19">
        <v>0.504166666666667</v>
      </c>
      <c r="E606" s="19">
        <v>0.566666666666667</v>
      </c>
      <c r="F606" s="12" t="str">
        <f t="shared" si="1"/>
        <v>90</v>
      </c>
      <c r="G606" s="18" t="s">
        <v>23</v>
      </c>
      <c r="H606" s="12" t="str">
        <f t="shared" si="4"/>
        <v/>
      </c>
      <c r="I606" s="14" t="str">
        <f t="shared" si="2"/>
        <v>07/06</v>
      </c>
      <c r="J606" s="15" t="str">
        <f t="shared" si="3"/>
        <v>Matin</v>
      </c>
    </row>
    <row r="607" ht="14.25" customHeight="1">
      <c r="A607" s="17">
        <v>46180.0</v>
      </c>
      <c r="B607" s="18" t="s">
        <v>54</v>
      </c>
      <c r="C607" s="18" t="s">
        <v>24</v>
      </c>
      <c r="D607" s="19">
        <v>0.59375</v>
      </c>
      <c r="E607" s="19">
        <v>0.690972222222222</v>
      </c>
      <c r="F607" s="12" t="str">
        <f t="shared" si="1"/>
        <v>140</v>
      </c>
      <c r="G607" s="18" t="s">
        <v>23</v>
      </c>
      <c r="H607" s="12" t="str">
        <f t="shared" si="4"/>
        <v>39</v>
      </c>
      <c r="I607" s="14" t="str">
        <f t="shared" si="2"/>
        <v>07/06</v>
      </c>
      <c r="J607" s="15" t="str">
        <f t="shared" si="3"/>
        <v>Après-midi</v>
      </c>
    </row>
    <row r="608" ht="14.25" customHeight="1">
      <c r="A608" s="17">
        <v>46180.0</v>
      </c>
      <c r="B608" s="18" t="s">
        <v>54</v>
      </c>
      <c r="C608" s="18" t="s">
        <v>24</v>
      </c>
      <c r="D608" s="19">
        <v>0.701388888888889</v>
      </c>
      <c r="E608" s="19">
        <v>0.833333333333333</v>
      </c>
      <c r="F608" s="12" t="str">
        <f t="shared" si="1"/>
        <v>190</v>
      </c>
      <c r="G608" s="18" t="s">
        <v>23</v>
      </c>
      <c r="H608" s="12" t="str">
        <f t="shared" si="4"/>
        <v/>
      </c>
      <c r="I608" s="14" t="str">
        <f t="shared" si="2"/>
        <v>07/06</v>
      </c>
      <c r="J608" s="15" t="str">
        <f t="shared" si="3"/>
        <v>Après-midi</v>
      </c>
    </row>
    <row r="609" ht="14.25" customHeight="1">
      <c r="A609" s="17">
        <v>46181.0</v>
      </c>
      <c r="B609" s="18" t="s">
        <v>66</v>
      </c>
      <c r="C609" s="18" t="s">
        <v>24</v>
      </c>
      <c r="D609" s="19">
        <v>0.288194444444444</v>
      </c>
      <c r="E609" s="19">
        <v>0.305555555555556</v>
      </c>
      <c r="F609" s="12" t="str">
        <f t="shared" si="1"/>
        <v>25</v>
      </c>
      <c r="G609" s="18" t="s">
        <v>23</v>
      </c>
      <c r="H609" s="12" t="str">
        <f t="shared" si="4"/>
        <v>655</v>
      </c>
      <c r="I609" s="14" t="str">
        <f t="shared" si="2"/>
        <v>08/06</v>
      </c>
      <c r="J609" s="15" t="str">
        <f t="shared" si="3"/>
        <v>Matin</v>
      </c>
    </row>
    <row r="610" ht="14.25" customHeight="1">
      <c r="A610" s="17">
        <v>46181.0</v>
      </c>
      <c r="B610" s="18" t="s">
        <v>66</v>
      </c>
      <c r="C610" s="18" t="s">
        <v>24</v>
      </c>
      <c r="D610" s="19">
        <v>0.309027777777778</v>
      </c>
      <c r="E610" s="19">
        <v>0.31875</v>
      </c>
      <c r="F610" s="12" t="str">
        <f t="shared" si="1"/>
        <v>14</v>
      </c>
      <c r="G610" s="18" t="s">
        <v>65</v>
      </c>
      <c r="H610" s="12" t="str">
        <f t="shared" si="4"/>
        <v/>
      </c>
      <c r="I610" s="14" t="str">
        <f t="shared" si="2"/>
        <v>08/06</v>
      </c>
      <c r="J610" s="15" t="str">
        <f t="shared" si="3"/>
        <v>Matin</v>
      </c>
    </row>
    <row r="611" ht="14.25" customHeight="1">
      <c r="A611" s="17">
        <v>46181.0</v>
      </c>
      <c r="B611" s="18" t="s">
        <v>66</v>
      </c>
      <c r="C611" s="18" t="s">
        <v>24</v>
      </c>
      <c r="D611" s="19">
        <v>0.35</v>
      </c>
      <c r="E611" s="19">
        <v>0.402777777777778</v>
      </c>
      <c r="F611" s="12" t="str">
        <f t="shared" si="1"/>
        <v>76</v>
      </c>
      <c r="G611" s="18" t="s">
        <v>65</v>
      </c>
      <c r="H611" s="12" t="str">
        <f t="shared" si="4"/>
        <v/>
      </c>
      <c r="I611" s="14" t="str">
        <f t="shared" si="2"/>
        <v>08/06</v>
      </c>
      <c r="J611" s="15" t="str">
        <f t="shared" si="3"/>
        <v>Matin</v>
      </c>
    </row>
    <row r="612" ht="14.25" customHeight="1">
      <c r="A612" s="17">
        <v>46181.0</v>
      </c>
      <c r="B612" s="18" t="s">
        <v>66</v>
      </c>
      <c r="C612" s="18" t="s">
        <v>24</v>
      </c>
      <c r="D612" s="19">
        <v>0.440972222222222</v>
      </c>
      <c r="E612" s="19">
        <v>0.453472222222222</v>
      </c>
      <c r="F612" s="12" t="str">
        <f t="shared" si="1"/>
        <v>18</v>
      </c>
      <c r="G612" s="18" t="s">
        <v>23</v>
      </c>
      <c r="H612" s="12" t="str">
        <f t="shared" si="4"/>
        <v/>
      </c>
      <c r="I612" s="14" t="str">
        <f t="shared" si="2"/>
        <v>08/06</v>
      </c>
      <c r="J612" s="15" t="str">
        <f t="shared" si="3"/>
        <v>Matin</v>
      </c>
    </row>
    <row r="613" ht="14.25" customHeight="1">
      <c r="A613" s="17">
        <v>46181.0</v>
      </c>
      <c r="B613" s="18" t="s">
        <v>66</v>
      </c>
      <c r="C613" s="18" t="s">
        <v>24</v>
      </c>
      <c r="D613" s="19">
        <v>0.479166666666667</v>
      </c>
      <c r="E613" s="19">
        <v>0.576388888888889</v>
      </c>
      <c r="F613" s="12" t="str">
        <f t="shared" si="1"/>
        <v>140</v>
      </c>
      <c r="G613" s="18" t="s">
        <v>23</v>
      </c>
      <c r="H613" s="12" t="str">
        <f t="shared" si="4"/>
        <v/>
      </c>
      <c r="I613" s="14" t="str">
        <f t="shared" si="2"/>
        <v>08/06</v>
      </c>
      <c r="J613" s="15" t="str">
        <f t="shared" si="3"/>
        <v>Matin</v>
      </c>
    </row>
    <row r="614" ht="14.25" customHeight="1">
      <c r="A614" s="17">
        <v>46183.0</v>
      </c>
      <c r="B614" s="18" t="s">
        <v>54</v>
      </c>
      <c r="C614" s="18" t="s">
        <v>24</v>
      </c>
      <c r="D614" s="19">
        <v>0.25</v>
      </c>
      <c r="E614" s="19">
        <v>0.368055555555556</v>
      </c>
      <c r="F614" s="12" t="str">
        <f t="shared" si="1"/>
        <v>170</v>
      </c>
      <c r="G614" s="18" t="s">
        <v>23</v>
      </c>
      <c r="H614" s="12" t="str">
        <f t="shared" si="4"/>
        <v>970</v>
      </c>
      <c r="I614" s="14" t="str">
        <f t="shared" si="2"/>
        <v>10/06</v>
      </c>
      <c r="J614" s="15" t="str">
        <f t="shared" si="3"/>
        <v>Matin</v>
      </c>
    </row>
    <row r="615" ht="14.25" customHeight="1">
      <c r="A615" s="17">
        <v>46183.0</v>
      </c>
      <c r="B615" s="18" t="s">
        <v>54</v>
      </c>
      <c r="C615" s="18" t="s">
        <v>24</v>
      </c>
      <c r="D615" s="19">
        <v>0.371527777777778</v>
      </c>
      <c r="E615" s="19">
        <v>0.458333333333333</v>
      </c>
      <c r="F615" s="12" t="str">
        <f t="shared" si="1"/>
        <v>125</v>
      </c>
      <c r="G615" s="18" t="s">
        <v>23</v>
      </c>
      <c r="H615" s="12" t="str">
        <f t="shared" si="4"/>
        <v/>
      </c>
      <c r="I615" s="14" t="str">
        <f t="shared" si="2"/>
        <v>10/06</v>
      </c>
      <c r="J615" s="15" t="str">
        <f t="shared" si="3"/>
        <v>Matin</v>
      </c>
    </row>
    <row r="616" ht="14.25" customHeight="1">
      <c r="A616" s="17">
        <v>46183.0</v>
      </c>
      <c r="B616" s="18" t="s">
        <v>54</v>
      </c>
      <c r="C616" s="18" t="s">
        <v>24</v>
      </c>
      <c r="D616" s="19">
        <v>0.46875</v>
      </c>
      <c r="E616" s="19">
        <v>0.5</v>
      </c>
      <c r="F616" s="12" t="str">
        <f t="shared" si="1"/>
        <v>45</v>
      </c>
      <c r="G616" s="18" t="s">
        <v>23</v>
      </c>
      <c r="H616" s="12" t="str">
        <f t="shared" si="4"/>
        <v/>
      </c>
      <c r="I616" s="14" t="str">
        <f t="shared" si="2"/>
        <v>10/06</v>
      </c>
      <c r="J616" s="15" t="str">
        <f t="shared" si="3"/>
        <v>Matin</v>
      </c>
    </row>
    <row r="617" ht="14.25" customHeight="1">
      <c r="A617" s="17">
        <v>46183.0</v>
      </c>
      <c r="B617" s="18" t="s">
        <v>54</v>
      </c>
      <c r="C617" s="18" t="s">
        <v>24</v>
      </c>
      <c r="D617" s="19">
        <v>0.503472222222222</v>
      </c>
      <c r="E617" s="19">
        <v>0.583333333333333</v>
      </c>
      <c r="F617" s="12" t="str">
        <f t="shared" si="1"/>
        <v>115</v>
      </c>
      <c r="G617" s="18" t="s">
        <v>23</v>
      </c>
      <c r="H617" s="12" t="str">
        <f t="shared" si="4"/>
        <v/>
      </c>
      <c r="I617" s="14" t="str">
        <f t="shared" si="2"/>
        <v>10/06</v>
      </c>
      <c r="J617" s="15" t="str">
        <f t="shared" si="3"/>
        <v>Matin</v>
      </c>
    </row>
    <row r="618" ht="14.25" customHeight="1">
      <c r="A618" s="17">
        <v>46184.0</v>
      </c>
      <c r="B618" s="18" t="s">
        <v>54</v>
      </c>
      <c r="C618" s="18" t="s">
        <v>24</v>
      </c>
      <c r="D618" s="19">
        <v>0.440972222222222</v>
      </c>
      <c r="E618" s="19">
        <v>0.494444444444445</v>
      </c>
      <c r="F618" s="12" t="str">
        <f t="shared" si="1"/>
        <v>77</v>
      </c>
      <c r="G618" s="18" t="s">
        <v>23</v>
      </c>
      <c r="H618" s="12" t="str">
        <f t="shared" si="4"/>
        <v/>
      </c>
      <c r="I618" s="14" t="str">
        <f t="shared" si="2"/>
        <v>11/06</v>
      </c>
      <c r="J618" s="15" t="str">
        <f t="shared" si="3"/>
        <v>Matin</v>
      </c>
    </row>
    <row r="619" ht="14.25" customHeight="1">
      <c r="A619" s="17">
        <v>46184.0</v>
      </c>
      <c r="B619" s="18" t="s">
        <v>54</v>
      </c>
      <c r="C619" s="18" t="s">
        <v>24</v>
      </c>
      <c r="D619" s="19">
        <v>0.510416666666667</v>
      </c>
      <c r="E619" s="19">
        <v>0.527777777777778</v>
      </c>
      <c r="F619" s="12" t="str">
        <f t="shared" si="1"/>
        <v>25</v>
      </c>
      <c r="G619" s="18" t="s">
        <v>65</v>
      </c>
      <c r="H619" s="12" t="str">
        <f t="shared" si="4"/>
        <v/>
      </c>
      <c r="I619" s="14" t="str">
        <f t="shared" si="2"/>
        <v>11/06</v>
      </c>
      <c r="J619" s="15" t="str">
        <f t="shared" si="3"/>
        <v>Matin</v>
      </c>
    </row>
    <row r="620" ht="14.25" customHeight="1">
      <c r="A620" s="17">
        <v>46184.0</v>
      </c>
      <c r="B620" s="18" t="s">
        <v>54</v>
      </c>
      <c r="C620" s="18" t="s">
        <v>24</v>
      </c>
      <c r="D620" s="19">
        <v>0.53125</v>
      </c>
      <c r="E620" s="19">
        <v>0.583333333333333</v>
      </c>
      <c r="F620" s="12" t="str">
        <f t="shared" si="1"/>
        <v>75</v>
      </c>
      <c r="G620" s="18" t="s">
        <v>23</v>
      </c>
      <c r="H620" s="12" t="str">
        <f t="shared" si="4"/>
        <v/>
      </c>
      <c r="I620" s="14" t="str">
        <f t="shared" si="2"/>
        <v>11/06</v>
      </c>
      <c r="J620" s="15" t="str">
        <f t="shared" si="3"/>
        <v>Matin</v>
      </c>
    </row>
    <row r="621" ht="14.25" customHeight="1">
      <c r="A621" s="17">
        <v>46185.0</v>
      </c>
      <c r="B621" s="18" t="s">
        <v>66</v>
      </c>
      <c r="C621" s="18" t="s">
        <v>24</v>
      </c>
      <c r="D621" s="19">
        <v>0.25</v>
      </c>
      <c r="E621" s="19">
        <v>0.359722222222222</v>
      </c>
      <c r="F621" s="12" t="str">
        <f t="shared" si="1"/>
        <v>158</v>
      </c>
      <c r="G621" s="18" t="s">
        <v>23</v>
      </c>
      <c r="H621" s="12" t="str">
        <f t="shared" si="4"/>
        <v>960</v>
      </c>
      <c r="I621" s="14" t="str">
        <f t="shared" si="2"/>
        <v>12/06</v>
      </c>
      <c r="J621" s="15" t="str">
        <f t="shared" si="3"/>
        <v>Matin</v>
      </c>
    </row>
    <row r="622" ht="14.25" customHeight="1">
      <c r="A622" s="17">
        <v>46185.0</v>
      </c>
      <c r="B622" s="18" t="s">
        <v>66</v>
      </c>
      <c r="C622" s="18" t="s">
        <v>24</v>
      </c>
      <c r="D622" s="19">
        <v>0.364583333333333</v>
      </c>
      <c r="E622" s="19">
        <v>0.411805555555556</v>
      </c>
      <c r="F622" s="12" t="str">
        <f t="shared" si="1"/>
        <v>68</v>
      </c>
      <c r="G622" s="18" t="s">
        <v>23</v>
      </c>
      <c r="H622" s="12" t="str">
        <f t="shared" si="4"/>
        <v/>
      </c>
      <c r="I622" s="14" t="str">
        <f t="shared" si="2"/>
        <v>12/06</v>
      </c>
      <c r="J622" s="15" t="str">
        <f t="shared" si="3"/>
        <v>Matin</v>
      </c>
    </row>
    <row r="623" ht="14.25" customHeight="1">
      <c r="A623" s="17">
        <v>46185.0</v>
      </c>
      <c r="B623" s="18" t="s">
        <v>66</v>
      </c>
      <c r="C623" s="18" t="s">
        <v>24</v>
      </c>
      <c r="D623" s="19">
        <v>0.383333333333333</v>
      </c>
      <c r="E623" s="19">
        <v>0.397222222222222</v>
      </c>
      <c r="F623" s="12" t="str">
        <f t="shared" si="1"/>
        <v>20</v>
      </c>
      <c r="G623" s="18" t="s">
        <v>23</v>
      </c>
      <c r="H623" s="12" t="str">
        <f t="shared" si="4"/>
        <v/>
      </c>
      <c r="I623" s="14" t="str">
        <f t="shared" si="2"/>
        <v>12/06</v>
      </c>
      <c r="J623" s="15" t="str">
        <f t="shared" si="3"/>
        <v>Matin</v>
      </c>
    </row>
    <row r="624" ht="14.25" customHeight="1">
      <c r="A624" s="17">
        <v>46185.0</v>
      </c>
      <c r="B624" s="18" t="s">
        <v>66</v>
      </c>
      <c r="C624" s="18" t="s">
        <v>24</v>
      </c>
      <c r="D624" s="19">
        <v>0.486111111111111</v>
      </c>
      <c r="E624" s="19">
        <v>0.513888888888889</v>
      </c>
      <c r="F624" s="12" t="str">
        <f t="shared" si="1"/>
        <v>40</v>
      </c>
      <c r="G624" s="18" t="s">
        <v>23</v>
      </c>
      <c r="H624" s="12" t="str">
        <f t="shared" si="4"/>
        <v/>
      </c>
      <c r="I624" s="14" t="str">
        <f t="shared" si="2"/>
        <v>12/06</v>
      </c>
      <c r="J624" s="15" t="str">
        <f t="shared" si="3"/>
        <v>Matin</v>
      </c>
    </row>
    <row r="625" ht="14.25" customHeight="1">
      <c r="A625" s="17">
        <v>46185.0</v>
      </c>
      <c r="B625" s="18" t="s">
        <v>66</v>
      </c>
      <c r="C625" s="18" t="s">
        <v>24</v>
      </c>
      <c r="D625" s="19">
        <v>0.527777777777778</v>
      </c>
      <c r="E625" s="19">
        <v>0.583333333333333</v>
      </c>
      <c r="F625" s="12" t="str">
        <f t="shared" si="1"/>
        <v>80</v>
      </c>
      <c r="G625" s="18" t="s">
        <v>23</v>
      </c>
      <c r="H625" s="12" t="str">
        <f t="shared" si="4"/>
        <v/>
      </c>
      <c r="I625" s="14" t="str">
        <f t="shared" si="2"/>
        <v>12/06</v>
      </c>
      <c r="J625" s="15" t="str">
        <f t="shared" si="3"/>
        <v>Matin</v>
      </c>
    </row>
    <row r="626" ht="14.25" customHeight="1">
      <c r="A626" s="25" t="s">
        <v>88</v>
      </c>
      <c r="B626" s="2"/>
      <c r="C626" s="2"/>
      <c r="D626" s="2"/>
      <c r="E626" s="2"/>
      <c r="F626" s="2"/>
      <c r="G626" s="2"/>
      <c r="H626" s="2"/>
      <c r="I626" s="14" t="str">
        <f t="shared" si="2"/>
        <v/>
      </c>
      <c r="J626" s="15" t="str">
        <f t="shared" si="3"/>
        <v/>
      </c>
    </row>
    <row r="627" ht="14.25" customHeight="1">
      <c r="A627" s="26">
        <v>46170.0</v>
      </c>
      <c r="B627" s="27" t="s">
        <v>66</v>
      </c>
      <c r="C627" s="27" t="s">
        <v>27</v>
      </c>
      <c r="D627" s="28">
        <v>0.863194444444445</v>
      </c>
      <c r="E627" s="28">
        <v>0.881944444444444</v>
      </c>
      <c r="F627" s="29" t="str">
        <f t="shared" ref="F627:F631" si="5">IF(OR(D627="",E627=""),"",(MOD(E627-D627,1))*1440)</f>
        <v>27</v>
      </c>
      <c r="G627" s="27" t="s">
        <v>39</v>
      </c>
      <c r="H627" s="2"/>
      <c r="I627" s="14" t="str">
        <f t="shared" si="2"/>
        <v>28/05</v>
      </c>
      <c r="J627" s="15" t="str">
        <f t="shared" si="3"/>
        <v>Après-midi</v>
      </c>
    </row>
    <row r="628" ht="14.25" customHeight="1">
      <c r="A628" s="26">
        <v>46176.0</v>
      </c>
      <c r="B628" s="27" t="s">
        <v>66</v>
      </c>
      <c r="C628" s="27" t="s">
        <v>27</v>
      </c>
      <c r="D628" s="28">
        <v>0.277777777777778</v>
      </c>
      <c r="E628" s="28">
        <v>0.35625</v>
      </c>
      <c r="F628" s="29" t="str">
        <f t="shared" si="5"/>
        <v>113</v>
      </c>
      <c r="G628" s="27" t="s">
        <v>38</v>
      </c>
      <c r="H628" s="2"/>
      <c r="I628" s="14" t="str">
        <f t="shared" si="2"/>
        <v>03/06</v>
      </c>
      <c r="J628" s="15" t="str">
        <f t="shared" si="3"/>
        <v>Matin</v>
      </c>
    </row>
    <row r="629" ht="14.25" customHeight="1">
      <c r="A629" s="26">
        <v>46178.0</v>
      </c>
      <c r="B629" s="27" t="s">
        <v>66</v>
      </c>
      <c r="C629" s="27" t="s">
        <v>27</v>
      </c>
      <c r="D629" s="28">
        <v>0.25</v>
      </c>
      <c r="E629" s="28">
        <v>0.291666666666667</v>
      </c>
      <c r="F629" s="29" t="str">
        <f t="shared" si="5"/>
        <v>60</v>
      </c>
      <c r="G629" s="27" t="s">
        <v>38</v>
      </c>
      <c r="H629" s="2"/>
      <c r="I629" s="14" t="str">
        <f t="shared" si="2"/>
        <v>05/06</v>
      </c>
      <c r="J629" s="15" t="str">
        <f t="shared" si="3"/>
        <v>Matin</v>
      </c>
    </row>
    <row r="630" ht="14.25" customHeight="1">
      <c r="A630" s="26">
        <v>46179.0</v>
      </c>
      <c r="B630" s="27" t="s">
        <v>54</v>
      </c>
      <c r="C630" s="27" t="s">
        <v>27</v>
      </c>
      <c r="D630" s="28">
        <v>0.8125</v>
      </c>
      <c r="E630" s="28">
        <v>0.819444444444444</v>
      </c>
      <c r="F630" s="29" t="str">
        <f t="shared" si="5"/>
        <v>10</v>
      </c>
      <c r="G630" s="27" t="s">
        <v>39</v>
      </c>
      <c r="H630" s="2"/>
      <c r="I630" s="14" t="str">
        <f t="shared" si="2"/>
        <v>06/06</v>
      </c>
      <c r="J630" s="15" t="str">
        <f t="shared" si="3"/>
        <v>Après-midi</v>
      </c>
    </row>
    <row r="631" ht="14.25" customHeight="1">
      <c r="A631" s="26">
        <v>46183.0</v>
      </c>
      <c r="B631" s="27" t="s">
        <v>54</v>
      </c>
      <c r="C631" s="27" t="s">
        <v>27</v>
      </c>
      <c r="D631" s="28">
        <v>0.416666666666667</v>
      </c>
      <c r="E631" s="28">
        <v>0.486111111111111</v>
      </c>
      <c r="F631" s="29" t="str">
        <f t="shared" si="5"/>
        <v>100</v>
      </c>
      <c r="G631" s="27" t="s">
        <v>38</v>
      </c>
      <c r="H631" s="2"/>
      <c r="I631" s="14" t="str">
        <f t="shared" si="2"/>
        <v>10/06</v>
      </c>
      <c r="J631" s="15" t="str">
        <f t="shared" si="3"/>
        <v>Matin</v>
      </c>
    </row>
  </sheetData>
  <printOptions/>
  <pageMargins bottom="1.0" footer="0.0" header="0.0" left="0.75" right="0.75" top="1.0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12.0"/>
    <col customWidth="1" min="2" max="2" width="9.0"/>
    <col customWidth="1" min="3" max="3" width="20.0"/>
    <col customWidth="1" min="4" max="4" width="12.0"/>
    <col customWidth="1" min="5" max="5" width="11.0"/>
    <col customWidth="1" min="6" max="6" width="15.0"/>
    <col customWidth="1" min="7" max="7" width="26.0"/>
    <col customWidth="1" min="8" max="8" width="16.0"/>
    <col customWidth="1" min="9" max="9" width="13.0"/>
    <col customWidth="1" min="10" max="11" width="8.57"/>
  </cols>
  <sheetData>
    <row r="1" ht="18.0" customHeight="1">
      <c r="A1" s="1" t="s">
        <v>89</v>
      </c>
      <c r="H1" s="2"/>
      <c r="I1" s="2"/>
    </row>
    <row r="2" ht="25.5" customHeight="1">
      <c r="A2" s="30" t="s">
        <v>90</v>
      </c>
      <c r="B2" s="31"/>
      <c r="C2" s="31"/>
      <c r="D2" s="31"/>
      <c r="E2" s="31"/>
      <c r="F2" s="31"/>
      <c r="G2" s="32"/>
      <c r="H2" s="2"/>
      <c r="I2" s="2"/>
    </row>
    <row r="3" ht="21.75" customHeight="1">
      <c r="A3" s="10" t="s">
        <v>91</v>
      </c>
      <c r="H3" s="2"/>
      <c r="I3" s="2"/>
    </row>
    <row r="4" ht="30.0" customHeight="1">
      <c r="A4" s="33" t="s">
        <v>43</v>
      </c>
      <c r="B4" s="33" t="s">
        <v>44</v>
      </c>
      <c r="C4" s="33" t="s">
        <v>45</v>
      </c>
      <c r="D4" s="33" t="s">
        <v>46</v>
      </c>
      <c r="E4" s="33" t="s">
        <v>47</v>
      </c>
      <c r="F4" s="33" t="s">
        <v>48</v>
      </c>
      <c r="G4" s="33" t="s">
        <v>92</v>
      </c>
      <c r="H4" s="7" t="s">
        <v>51</v>
      </c>
      <c r="I4" s="34" t="s">
        <v>52</v>
      </c>
    </row>
    <row r="5" ht="15.0" customHeight="1">
      <c r="A5" s="35" t="s">
        <v>53</v>
      </c>
      <c r="B5" s="36" t="s">
        <v>54</v>
      </c>
      <c r="C5" s="36" t="s">
        <v>27</v>
      </c>
      <c r="D5" s="37">
        <v>0.333333333333333</v>
      </c>
      <c r="E5" s="37">
        <v>0.34375</v>
      </c>
      <c r="F5" s="38" t="str">
        <f t="shared" ref="F5:F495" si="1">IF(OR(D5="",E5=""),"",(E5-D5)*1440)</f>
        <v>15</v>
      </c>
      <c r="G5" s="8"/>
      <c r="H5" s="14" t="str">
        <f t="shared" ref="H5:H495" si="2">IF(OR(A5="",D5=""),"",IF(D5&lt;TIME(6,0,0),A5-1,A5))</f>
        <v>11/06</v>
      </c>
      <c r="I5" s="15" t="str">
        <f t="shared" ref="I5:I495" si="3">IF(D5="","",IF(D5&lt;TIME(6,0,0),"Nuit",IF(D5&lt;TIME(14,0,0),"Matin",IF(D5&lt;TIME(22,0,0),"Après-midi","Nuit"))))</f>
        <v>Matin</v>
      </c>
    </row>
    <row r="6" ht="15.0" customHeight="1">
      <c r="A6" s="35" t="s">
        <v>53</v>
      </c>
      <c r="B6" s="36" t="s">
        <v>54</v>
      </c>
      <c r="C6" s="36" t="s">
        <v>27</v>
      </c>
      <c r="D6" s="37">
        <v>0.458333333333333</v>
      </c>
      <c r="E6" s="37">
        <v>0.46875</v>
      </c>
      <c r="F6" s="38" t="str">
        <f t="shared" si="1"/>
        <v>15</v>
      </c>
      <c r="G6" s="8"/>
      <c r="H6" s="14" t="str">
        <f t="shared" si="2"/>
        <v>11/06</v>
      </c>
      <c r="I6" s="15" t="str">
        <f t="shared" si="3"/>
        <v>Matin</v>
      </c>
    </row>
    <row r="7" ht="15.0" customHeight="1">
      <c r="A7" s="39">
        <v>46147.0</v>
      </c>
      <c r="B7" s="36" t="s">
        <v>54</v>
      </c>
      <c r="C7" s="36" t="s">
        <v>27</v>
      </c>
      <c r="D7" s="37">
        <v>0.672916666666667</v>
      </c>
      <c r="E7" s="37">
        <v>0.689583333333333</v>
      </c>
      <c r="F7" s="38" t="str">
        <f t="shared" si="1"/>
        <v>24</v>
      </c>
      <c r="G7" s="8"/>
      <c r="H7" s="14" t="str">
        <f t="shared" si="2"/>
        <v>05/05</v>
      </c>
      <c r="I7" s="15" t="str">
        <f t="shared" si="3"/>
        <v>Après-midi</v>
      </c>
    </row>
    <row r="8" ht="15.0" customHeight="1">
      <c r="A8" s="39">
        <v>46147.0</v>
      </c>
      <c r="B8" s="36" t="s">
        <v>54</v>
      </c>
      <c r="C8" s="36" t="s">
        <v>27</v>
      </c>
      <c r="D8" s="37">
        <v>0.8125</v>
      </c>
      <c r="E8" s="37">
        <v>0.819444444444444</v>
      </c>
      <c r="F8" s="38" t="str">
        <f t="shared" si="1"/>
        <v>10</v>
      </c>
      <c r="G8" s="8"/>
      <c r="H8" s="14" t="str">
        <f t="shared" si="2"/>
        <v>05/05</v>
      </c>
      <c r="I8" s="15" t="str">
        <f t="shared" si="3"/>
        <v>Après-midi</v>
      </c>
    </row>
    <row r="9" ht="15.0" customHeight="1">
      <c r="A9" s="39">
        <v>46147.0</v>
      </c>
      <c r="B9" s="36" t="s">
        <v>54</v>
      </c>
      <c r="C9" s="36" t="s">
        <v>27</v>
      </c>
      <c r="D9" s="37">
        <v>0.916666666666667</v>
      </c>
      <c r="E9" s="37">
        <v>0.927083333333333</v>
      </c>
      <c r="F9" s="38" t="str">
        <f t="shared" si="1"/>
        <v>15</v>
      </c>
      <c r="G9" s="8"/>
      <c r="H9" s="14" t="str">
        <f t="shared" si="2"/>
        <v>05/05</v>
      </c>
      <c r="I9" s="15" t="str">
        <f t="shared" si="3"/>
        <v>Nuit</v>
      </c>
    </row>
    <row r="10" ht="15.0" customHeight="1">
      <c r="A10" s="39">
        <v>46148.0</v>
      </c>
      <c r="B10" s="36" t="s">
        <v>54</v>
      </c>
      <c r="C10" s="36" t="s">
        <v>27</v>
      </c>
      <c r="D10" s="37">
        <v>0.0138888888888889</v>
      </c>
      <c r="E10" s="37">
        <v>0.0180555555555556</v>
      </c>
      <c r="F10" s="38" t="str">
        <f t="shared" si="1"/>
        <v>6</v>
      </c>
      <c r="G10" s="8"/>
      <c r="H10" s="14" t="str">
        <f t="shared" si="2"/>
        <v>05/05</v>
      </c>
      <c r="I10" s="15" t="str">
        <f t="shared" si="3"/>
        <v>Nuit</v>
      </c>
    </row>
    <row r="11" ht="15.0" customHeight="1">
      <c r="A11" s="39">
        <v>46148.0</v>
      </c>
      <c r="B11" s="36" t="s">
        <v>54</v>
      </c>
      <c r="C11" s="36" t="s">
        <v>27</v>
      </c>
      <c r="D11" s="37">
        <v>0.161111111111111</v>
      </c>
      <c r="E11" s="37">
        <v>0.16875</v>
      </c>
      <c r="F11" s="38" t="str">
        <f t="shared" si="1"/>
        <v>11</v>
      </c>
      <c r="G11" s="8"/>
      <c r="H11" s="14" t="str">
        <f t="shared" si="2"/>
        <v>05/05</v>
      </c>
      <c r="I11" s="15" t="str">
        <f t="shared" si="3"/>
        <v>Nuit</v>
      </c>
    </row>
    <row r="12" ht="15.0" customHeight="1">
      <c r="A12" s="39">
        <v>46148.0</v>
      </c>
      <c r="B12" s="36" t="s">
        <v>54</v>
      </c>
      <c r="C12" s="36" t="s">
        <v>27</v>
      </c>
      <c r="D12" s="37">
        <v>0.240277777777778</v>
      </c>
      <c r="E12" s="37">
        <v>0.25</v>
      </c>
      <c r="F12" s="38" t="str">
        <f t="shared" si="1"/>
        <v>14</v>
      </c>
      <c r="G12" s="8"/>
      <c r="H12" s="14" t="str">
        <f t="shared" si="2"/>
        <v>05/05</v>
      </c>
      <c r="I12" s="15" t="str">
        <f t="shared" si="3"/>
        <v>Nuit</v>
      </c>
    </row>
    <row r="13" ht="15.0" customHeight="1">
      <c r="A13" s="39">
        <v>46148.0</v>
      </c>
      <c r="B13" s="36" t="s">
        <v>66</v>
      </c>
      <c r="C13" s="36" t="s">
        <v>27</v>
      </c>
      <c r="D13" s="37">
        <v>0.340277777777778</v>
      </c>
      <c r="E13" s="37">
        <v>0.353472222222222</v>
      </c>
      <c r="F13" s="38" t="str">
        <f t="shared" si="1"/>
        <v>19</v>
      </c>
      <c r="G13" s="8"/>
      <c r="H13" s="14" t="str">
        <f t="shared" si="2"/>
        <v>06/05</v>
      </c>
      <c r="I13" s="15" t="str">
        <f t="shared" si="3"/>
        <v>Matin</v>
      </c>
    </row>
    <row r="14" ht="15.0" customHeight="1">
      <c r="A14" s="39">
        <v>46148.0</v>
      </c>
      <c r="B14" s="36" t="s">
        <v>66</v>
      </c>
      <c r="C14" s="36" t="s">
        <v>27</v>
      </c>
      <c r="D14" s="37">
        <v>0.498611111111111</v>
      </c>
      <c r="E14" s="37">
        <v>0.505555555555556</v>
      </c>
      <c r="F14" s="38" t="str">
        <f t="shared" si="1"/>
        <v>10</v>
      </c>
      <c r="G14" s="8"/>
      <c r="H14" s="14" t="str">
        <f t="shared" si="2"/>
        <v>06/05</v>
      </c>
      <c r="I14" s="15" t="str">
        <f t="shared" si="3"/>
        <v>Matin</v>
      </c>
    </row>
    <row r="15" ht="15.0" customHeight="1">
      <c r="A15" s="39">
        <v>46148.0</v>
      </c>
      <c r="B15" s="36" t="s">
        <v>66</v>
      </c>
      <c r="C15" s="36" t="s">
        <v>27</v>
      </c>
      <c r="D15" s="37">
        <v>0.583333333333333</v>
      </c>
      <c r="E15" s="37">
        <v>0.588194444444445</v>
      </c>
      <c r="F15" s="38" t="str">
        <f t="shared" si="1"/>
        <v>7</v>
      </c>
      <c r="G15" s="8"/>
      <c r="H15" s="14" t="str">
        <f t="shared" si="2"/>
        <v>06/05</v>
      </c>
      <c r="I15" s="15" t="str">
        <f t="shared" si="3"/>
        <v>Après-midi</v>
      </c>
    </row>
    <row r="16" ht="15.0" customHeight="1">
      <c r="A16" s="39">
        <v>46148.0</v>
      </c>
      <c r="B16" s="36" t="s">
        <v>54</v>
      </c>
      <c r="C16" s="36" t="s">
        <v>27</v>
      </c>
      <c r="D16" s="37">
        <v>0.635416666666667</v>
      </c>
      <c r="E16" s="37">
        <v>0.642361111111111</v>
      </c>
      <c r="F16" s="38" t="str">
        <f t="shared" si="1"/>
        <v>10</v>
      </c>
      <c r="G16" s="8"/>
      <c r="H16" s="14" t="str">
        <f t="shared" si="2"/>
        <v>06/05</v>
      </c>
      <c r="I16" s="15" t="str">
        <f t="shared" si="3"/>
        <v>Après-midi</v>
      </c>
    </row>
    <row r="17" ht="15.0" customHeight="1">
      <c r="A17" s="39">
        <v>46148.0</v>
      </c>
      <c r="B17" s="36" t="s">
        <v>54</v>
      </c>
      <c r="C17" s="36" t="s">
        <v>27</v>
      </c>
      <c r="D17" s="37">
        <v>0.770833333333333</v>
      </c>
      <c r="E17" s="37">
        <v>0.774305555555556</v>
      </c>
      <c r="F17" s="38" t="str">
        <f t="shared" si="1"/>
        <v>5</v>
      </c>
      <c r="G17" s="8"/>
      <c r="H17" s="14" t="str">
        <f t="shared" si="2"/>
        <v>06/05</v>
      </c>
      <c r="I17" s="15" t="str">
        <f t="shared" si="3"/>
        <v>Après-midi</v>
      </c>
    </row>
    <row r="18" ht="15.0" customHeight="1">
      <c r="A18" s="39">
        <v>46148.0</v>
      </c>
      <c r="B18" s="36" t="s">
        <v>54</v>
      </c>
      <c r="C18" s="36" t="s">
        <v>27</v>
      </c>
      <c r="D18" s="37">
        <v>0.916666666666667</v>
      </c>
      <c r="E18" s="37">
        <v>0.928472222222222</v>
      </c>
      <c r="F18" s="38" t="str">
        <f t="shared" si="1"/>
        <v>17</v>
      </c>
      <c r="G18" s="8"/>
      <c r="H18" s="14" t="str">
        <f t="shared" si="2"/>
        <v>06/05</v>
      </c>
      <c r="I18" s="15" t="str">
        <f t="shared" si="3"/>
        <v>Nuit</v>
      </c>
    </row>
    <row r="19" ht="15.0" customHeight="1">
      <c r="A19" s="39">
        <v>46149.0</v>
      </c>
      <c r="B19" s="36" t="s">
        <v>67</v>
      </c>
      <c r="C19" s="36" t="s">
        <v>27</v>
      </c>
      <c r="D19" s="37">
        <v>0.147916666666667</v>
      </c>
      <c r="E19" s="37">
        <v>0.152777777777778</v>
      </c>
      <c r="F19" s="38" t="str">
        <f t="shared" si="1"/>
        <v>7</v>
      </c>
      <c r="G19" s="8"/>
      <c r="H19" s="14" t="str">
        <f t="shared" si="2"/>
        <v>06/05</v>
      </c>
      <c r="I19" s="15" t="str">
        <f t="shared" si="3"/>
        <v>Nuit</v>
      </c>
    </row>
    <row r="20" ht="15.0" customHeight="1">
      <c r="A20" s="39">
        <v>46149.0</v>
      </c>
      <c r="B20" s="36" t="s">
        <v>67</v>
      </c>
      <c r="C20" s="36" t="s">
        <v>27</v>
      </c>
      <c r="D20" s="37">
        <v>0.246527777777778</v>
      </c>
      <c r="E20" s="37">
        <v>0.25</v>
      </c>
      <c r="F20" s="38" t="str">
        <f t="shared" si="1"/>
        <v>5</v>
      </c>
      <c r="G20" s="8"/>
      <c r="H20" s="14" t="str">
        <f t="shared" si="2"/>
        <v>06/05</v>
      </c>
      <c r="I20" s="15" t="str">
        <f t="shared" si="3"/>
        <v>Nuit</v>
      </c>
    </row>
    <row r="21" ht="15.0" customHeight="1">
      <c r="A21" s="39">
        <v>46149.0</v>
      </c>
      <c r="B21" s="36" t="s">
        <v>66</v>
      </c>
      <c r="C21" s="36" t="s">
        <v>27</v>
      </c>
      <c r="D21" s="37">
        <v>0.364583333333333</v>
      </c>
      <c r="E21" s="37">
        <v>0.375</v>
      </c>
      <c r="F21" s="38" t="str">
        <f t="shared" si="1"/>
        <v>15</v>
      </c>
      <c r="G21" s="8"/>
      <c r="H21" s="14" t="str">
        <f t="shared" si="2"/>
        <v>07/05</v>
      </c>
      <c r="I21" s="15" t="str">
        <f t="shared" si="3"/>
        <v>Matin</v>
      </c>
    </row>
    <row r="22" ht="15.0" customHeight="1">
      <c r="A22" s="39">
        <v>46149.0</v>
      </c>
      <c r="B22" s="36" t="s">
        <v>66</v>
      </c>
      <c r="C22" s="36" t="s">
        <v>27</v>
      </c>
      <c r="D22" s="37">
        <v>0.452083333333333</v>
      </c>
      <c r="E22" s="37">
        <v>0.461805555555556</v>
      </c>
      <c r="F22" s="38" t="str">
        <f t="shared" si="1"/>
        <v>14</v>
      </c>
      <c r="G22" s="8"/>
      <c r="H22" s="14" t="str">
        <f t="shared" si="2"/>
        <v>07/05</v>
      </c>
      <c r="I22" s="15" t="str">
        <f t="shared" si="3"/>
        <v>Matin</v>
      </c>
    </row>
    <row r="23" ht="15.0" customHeight="1">
      <c r="A23" s="39">
        <v>46149.0</v>
      </c>
      <c r="B23" s="36" t="s">
        <v>66</v>
      </c>
      <c r="C23" s="36" t="s">
        <v>27</v>
      </c>
      <c r="D23" s="37">
        <v>0.540277777777778</v>
      </c>
      <c r="E23" s="37">
        <v>0.549305555555556</v>
      </c>
      <c r="F23" s="38" t="str">
        <f t="shared" si="1"/>
        <v>13</v>
      </c>
      <c r="G23" s="8"/>
      <c r="H23" s="14" t="str">
        <f t="shared" si="2"/>
        <v>07/05</v>
      </c>
      <c r="I23" s="15" t="str">
        <f t="shared" si="3"/>
        <v>Matin</v>
      </c>
    </row>
    <row r="24" ht="15.0" customHeight="1">
      <c r="A24" s="39">
        <v>46149.0</v>
      </c>
      <c r="B24" s="36" t="s">
        <v>66</v>
      </c>
      <c r="C24" s="36" t="s">
        <v>27</v>
      </c>
      <c r="D24" s="37">
        <v>0.583333333333333</v>
      </c>
      <c r="E24" s="37">
        <v>0.59375</v>
      </c>
      <c r="F24" s="38" t="str">
        <f t="shared" si="1"/>
        <v>15</v>
      </c>
      <c r="G24" s="8"/>
      <c r="H24" s="14" t="str">
        <f t="shared" si="2"/>
        <v>07/05</v>
      </c>
      <c r="I24" s="15" t="str">
        <f t="shared" si="3"/>
        <v>Après-midi</v>
      </c>
    </row>
    <row r="25" ht="15.0" customHeight="1">
      <c r="A25" s="39">
        <v>46149.0</v>
      </c>
      <c r="B25" s="36" t="s">
        <v>54</v>
      </c>
      <c r="C25" s="36" t="s">
        <v>27</v>
      </c>
      <c r="D25" s="37">
        <v>0.672916666666667</v>
      </c>
      <c r="E25" s="37">
        <v>0.685416666666667</v>
      </c>
      <c r="F25" s="38" t="str">
        <f t="shared" si="1"/>
        <v>18</v>
      </c>
      <c r="G25" s="8"/>
      <c r="H25" s="14" t="str">
        <f t="shared" si="2"/>
        <v>07/05</v>
      </c>
      <c r="I25" s="15" t="str">
        <f t="shared" si="3"/>
        <v>Après-midi</v>
      </c>
    </row>
    <row r="26" ht="15.0" customHeight="1">
      <c r="A26" s="39">
        <v>46149.0</v>
      </c>
      <c r="B26" s="36" t="s">
        <v>54</v>
      </c>
      <c r="C26" s="36" t="s">
        <v>27</v>
      </c>
      <c r="D26" s="37">
        <v>0.703472222222222</v>
      </c>
      <c r="E26" s="37">
        <v>0.708333333333333</v>
      </c>
      <c r="F26" s="38" t="str">
        <f t="shared" si="1"/>
        <v>7</v>
      </c>
      <c r="G26" s="8"/>
      <c r="H26" s="14" t="str">
        <f t="shared" si="2"/>
        <v>07/05</v>
      </c>
      <c r="I26" s="15" t="str">
        <f t="shared" si="3"/>
        <v>Après-midi</v>
      </c>
    </row>
    <row r="27" ht="15.0" customHeight="1">
      <c r="A27" s="39">
        <v>46149.0</v>
      </c>
      <c r="B27" s="36" t="s">
        <v>54</v>
      </c>
      <c r="C27" s="36" t="s">
        <v>27</v>
      </c>
      <c r="D27" s="37">
        <v>0.850694444444444</v>
      </c>
      <c r="E27" s="37">
        <v>0.857638888888889</v>
      </c>
      <c r="F27" s="38" t="str">
        <f t="shared" si="1"/>
        <v>10</v>
      </c>
      <c r="G27" s="8"/>
      <c r="H27" s="14" t="str">
        <f t="shared" si="2"/>
        <v>07/05</v>
      </c>
      <c r="I27" s="15" t="str">
        <f t="shared" si="3"/>
        <v>Après-midi</v>
      </c>
    </row>
    <row r="28" ht="15.0" customHeight="1">
      <c r="A28" s="39">
        <v>46149.0</v>
      </c>
      <c r="B28" s="36" t="s">
        <v>54</v>
      </c>
      <c r="C28" s="36" t="s">
        <v>27</v>
      </c>
      <c r="D28" s="37">
        <v>0.916666666666667</v>
      </c>
      <c r="E28" s="37">
        <v>0.91875</v>
      </c>
      <c r="F28" s="38" t="str">
        <f t="shared" si="1"/>
        <v>3</v>
      </c>
      <c r="G28" s="8"/>
      <c r="H28" s="14" t="str">
        <f t="shared" si="2"/>
        <v>07/05</v>
      </c>
      <c r="I28" s="15" t="str">
        <f t="shared" si="3"/>
        <v>Nuit</v>
      </c>
    </row>
    <row r="29" ht="15.0" customHeight="1">
      <c r="A29" s="39">
        <v>46150.0</v>
      </c>
      <c r="B29" s="36" t="s">
        <v>67</v>
      </c>
      <c r="C29" s="36" t="s">
        <v>27</v>
      </c>
      <c r="D29" s="37">
        <v>0.163194444444444</v>
      </c>
      <c r="E29" s="37">
        <v>0.166666666666667</v>
      </c>
      <c r="F29" s="38" t="str">
        <f t="shared" si="1"/>
        <v>5</v>
      </c>
      <c r="G29" s="8"/>
      <c r="H29" s="14" t="str">
        <f t="shared" si="2"/>
        <v>07/05</v>
      </c>
      <c r="I29" s="15" t="str">
        <f t="shared" si="3"/>
        <v>Nuit</v>
      </c>
    </row>
    <row r="30" ht="15.0" customHeight="1">
      <c r="A30" s="39">
        <v>46150.0</v>
      </c>
      <c r="B30" s="36" t="s">
        <v>67</v>
      </c>
      <c r="C30" s="36" t="s">
        <v>27</v>
      </c>
      <c r="D30" s="37">
        <v>0.204861111111111</v>
      </c>
      <c r="E30" s="37">
        <v>0.208333333333333</v>
      </c>
      <c r="F30" s="38" t="str">
        <f t="shared" si="1"/>
        <v>5</v>
      </c>
      <c r="G30" s="8"/>
      <c r="H30" s="14" t="str">
        <f t="shared" si="2"/>
        <v>07/05</v>
      </c>
      <c r="I30" s="15" t="str">
        <f t="shared" si="3"/>
        <v>Nuit</v>
      </c>
    </row>
    <row r="31" ht="15.0" customHeight="1">
      <c r="A31" s="39">
        <v>46150.0</v>
      </c>
      <c r="B31" s="36" t="s">
        <v>67</v>
      </c>
      <c r="C31" s="36" t="s">
        <v>27</v>
      </c>
      <c r="D31" s="37">
        <v>0.25</v>
      </c>
      <c r="E31" s="37">
        <v>0.253472222222222</v>
      </c>
      <c r="F31" s="38" t="str">
        <f t="shared" si="1"/>
        <v>5</v>
      </c>
      <c r="G31" s="8"/>
      <c r="H31" s="14" t="str">
        <f t="shared" si="2"/>
        <v>08/05</v>
      </c>
      <c r="I31" s="15" t="str">
        <f t="shared" si="3"/>
        <v>Matin</v>
      </c>
    </row>
    <row r="32" ht="15.0" customHeight="1">
      <c r="A32" s="39">
        <v>46150.0</v>
      </c>
      <c r="B32" s="36" t="s">
        <v>66</v>
      </c>
      <c r="C32" s="36" t="s">
        <v>27</v>
      </c>
      <c r="D32" s="37">
        <v>0.328472222222222</v>
      </c>
      <c r="E32" s="37">
        <v>0.338888888888889</v>
      </c>
      <c r="F32" s="38" t="str">
        <f t="shared" si="1"/>
        <v>15</v>
      </c>
      <c r="G32" s="8"/>
      <c r="H32" s="14" t="str">
        <f t="shared" si="2"/>
        <v>08/05</v>
      </c>
      <c r="I32" s="15" t="str">
        <f t="shared" si="3"/>
        <v>Matin</v>
      </c>
    </row>
    <row r="33" ht="15.0" customHeight="1">
      <c r="A33" s="39">
        <v>46150.0</v>
      </c>
      <c r="B33" s="36" t="s">
        <v>66</v>
      </c>
      <c r="C33" s="36" t="s">
        <v>27</v>
      </c>
      <c r="D33" s="37">
        <v>0.472222222222222</v>
      </c>
      <c r="E33" s="37">
        <v>0.481944444444445</v>
      </c>
      <c r="F33" s="38" t="str">
        <f t="shared" si="1"/>
        <v>14</v>
      </c>
      <c r="G33" s="8"/>
      <c r="H33" s="14" t="str">
        <f t="shared" si="2"/>
        <v>08/05</v>
      </c>
      <c r="I33" s="15" t="str">
        <f t="shared" si="3"/>
        <v>Matin</v>
      </c>
    </row>
    <row r="34" ht="15.0" customHeight="1">
      <c r="A34" s="39">
        <v>46150.0</v>
      </c>
      <c r="B34" s="36" t="s">
        <v>66</v>
      </c>
      <c r="C34" s="36" t="s">
        <v>27</v>
      </c>
      <c r="D34" s="37">
        <v>0.504861111111111</v>
      </c>
      <c r="E34" s="37">
        <v>0.528472222222222</v>
      </c>
      <c r="F34" s="38" t="str">
        <f t="shared" si="1"/>
        <v>34</v>
      </c>
      <c r="G34" s="8"/>
      <c r="H34" s="14" t="str">
        <f t="shared" si="2"/>
        <v>08/05</v>
      </c>
      <c r="I34" s="15" t="str">
        <f t="shared" si="3"/>
        <v>Matin</v>
      </c>
    </row>
    <row r="35" ht="15.0" customHeight="1">
      <c r="A35" s="39">
        <v>46150.0</v>
      </c>
      <c r="B35" s="36" t="s">
        <v>66</v>
      </c>
      <c r="C35" s="36" t="s">
        <v>27</v>
      </c>
      <c r="D35" s="37">
        <v>0.583333333333333</v>
      </c>
      <c r="E35" s="37">
        <v>0.586805555555556</v>
      </c>
      <c r="F35" s="38" t="str">
        <f t="shared" si="1"/>
        <v>5</v>
      </c>
      <c r="G35" s="8"/>
      <c r="H35" s="14" t="str">
        <f t="shared" si="2"/>
        <v>08/05</v>
      </c>
      <c r="I35" s="15" t="str">
        <f t="shared" si="3"/>
        <v>Après-midi</v>
      </c>
    </row>
    <row r="36" ht="15.0" customHeight="1">
      <c r="A36" s="39">
        <v>46150.0</v>
      </c>
      <c r="B36" s="36" t="s">
        <v>54</v>
      </c>
      <c r="C36" s="36" t="s">
        <v>27</v>
      </c>
      <c r="D36" s="37">
        <v>0.611111111111111</v>
      </c>
      <c r="E36" s="37">
        <v>0.621527777777778</v>
      </c>
      <c r="F36" s="38" t="str">
        <f t="shared" si="1"/>
        <v>15</v>
      </c>
      <c r="G36" s="8"/>
      <c r="H36" s="14" t="str">
        <f t="shared" si="2"/>
        <v>08/05</v>
      </c>
      <c r="I36" s="15" t="str">
        <f t="shared" si="3"/>
        <v>Après-midi</v>
      </c>
    </row>
    <row r="37" ht="15.0" customHeight="1">
      <c r="A37" s="39">
        <v>46150.0</v>
      </c>
      <c r="B37" s="36" t="s">
        <v>54</v>
      </c>
      <c r="C37" s="36" t="s">
        <v>27</v>
      </c>
      <c r="D37" s="37">
        <v>0.666666666666667</v>
      </c>
      <c r="E37" s="37">
        <v>0.697916666666667</v>
      </c>
      <c r="F37" s="38" t="str">
        <f t="shared" si="1"/>
        <v>45</v>
      </c>
      <c r="G37" s="8"/>
      <c r="H37" s="14" t="str">
        <f t="shared" si="2"/>
        <v>08/05</v>
      </c>
      <c r="I37" s="15" t="str">
        <f t="shared" si="3"/>
        <v>Après-midi</v>
      </c>
    </row>
    <row r="38" ht="15.0" customHeight="1">
      <c r="A38" s="39">
        <v>46150.0</v>
      </c>
      <c r="B38" s="36" t="s">
        <v>54</v>
      </c>
      <c r="C38" s="36" t="s">
        <v>27</v>
      </c>
      <c r="D38" s="37">
        <v>0.833333333333333</v>
      </c>
      <c r="E38" s="37">
        <v>0.840277777777778</v>
      </c>
      <c r="F38" s="38" t="str">
        <f t="shared" si="1"/>
        <v>10</v>
      </c>
      <c r="G38" s="8"/>
      <c r="H38" s="14" t="str">
        <f t="shared" si="2"/>
        <v>08/05</v>
      </c>
      <c r="I38" s="15" t="str">
        <f t="shared" si="3"/>
        <v>Après-midi</v>
      </c>
    </row>
    <row r="39" ht="15.0" customHeight="1">
      <c r="A39" s="39">
        <v>46150.0</v>
      </c>
      <c r="B39" s="36" t="s">
        <v>54</v>
      </c>
      <c r="C39" s="36" t="s">
        <v>27</v>
      </c>
      <c r="D39" s="37">
        <v>0.916666666666667</v>
      </c>
      <c r="E39" s="37">
        <v>0.920138888888889</v>
      </c>
      <c r="F39" s="38" t="str">
        <f t="shared" si="1"/>
        <v>5</v>
      </c>
      <c r="G39" s="8"/>
      <c r="H39" s="14" t="str">
        <f t="shared" si="2"/>
        <v>08/05</v>
      </c>
      <c r="I39" s="15" t="str">
        <f t="shared" si="3"/>
        <v>Nuit</v>
      </c>
    </row>
    <row r="40" ht="15.0" customHeight="1">
      <c r="A40" s="39">
        <v>46151.0</v>
      </c>
      <c r="B40" s="36" t="s">
        <v>67</v>
      </c>
      <c r="C40" s="36" t="s">
        <v>27</v>
      </c>
      <c r="D40" s="37">
        <v>0.128472222222222</v>
      </c>
      <c r="E40" s="37">
        <v>0.1375</v>
      </c>
      <c r="F40" s="38" t="str">
        <f t="shared" si="1"/>
        <v>13</v>
      </c>
      <c r="G40" s="8"/>
      <c r="H40" s="14" t="str">
        <f t="shared" si="2"/>
        <v>08/05</v>
      </c>
      <c r="I40" s="15" t="str">
        <f t="shared" si="3"/>
        <v>Nuit</v>
      </c>
    </row>
    <row r="41" ht="15.0" customHeight="1">
      <c r="A41" s="39">
        <v>46151.0</v>
      </c>
      <c r="B41" s="36" t="s">
        <v>67</v>
      </c>
      <c r="C41" s="36" t="s">
        <v>27</v>
      </c>
      <c r="D41" s="37">
        <v>0.149305555555556</v>
      </c>
      <c r="E41" s="37">
        <v>0.159027777777778</v>
      </c>
      <c r="F41" s="38" t="str">
        <f t="shared" si="1"/>
        <v>14</v>
      </c>
      <c r="G41" s="8"/>
      <c r="H41" s="14" t="str">
        <f t="shared" si="2"/>
        <v>08/05</v>
      </c>
      <c r="I41" s="15" t="str">
        <f t="shared" si="3"/>
        <v>Nuit</v>
      </c>
    </row>
    <row r="42" ht="15.0" customHeight="1">
      <c r="A42" s="39">
        <v>46151.0</v>
      </c>
      <c r="B42" s="36" t="s">
        <v>67</v>
      </c>
      <c r="C42" s="36" t="s">
        <v>27</v>
      </c>
      <c r="D42" s="37">
        <v>0.236111111111111</v>
      </c>
      <c r="E42" s="37">
        <v>0.240277777777778</v>
      </c>
      <c r="F42" s="38" t="str">
        <f t="shared" si="1"/>
        <v>6</v>
      </c>
      <c r="G42" s="8"/>
      <c r="H42" s="14" t="str">
        <f t="shared" si="2"/>
        <v>08/05</v>
      </c>
      <c r="I42" s="15" t="str">
        <f t="shared" si="3"/>
        <v>Nuit</v>
      </c>
    </row>
    <row r="43" ht="15.0" customHeight="1">
      <c r="A43" s="39">
        <v>46151.0</v>
      </c>
      <c r="B43" s="36" t="s">
        <v>67</v>
      </c>
      <c r="C43" s="36" t="s">
        <v>27</v>
      </c>
      <c r="D43" s="37">
        <v>0.25</v>
      </c>
      <c r="E43" s="37">
        <v>0.253472222222222</v>
      </c>
      <c r="F43" s="38" t="str">
        <f t="shared" si="1"/>
        <v>5</v>
      </c>
      <c r="G43" s="8"/>
      <c r="H43" s="14" t="str">
        <f t="shared" si="2"/>
        <v>09/05</v>
      </c>
      <c r="I43" s="15" t="str">
        <f t="shared" si="3"/>
        <v>Matin</v>
      </c>
    </row>
    <row r="44" ht="15.0" customHeight="1">
      <c r="A44" s="39">
        <v>46151.0</v>
      </c>
      <c r="B44" s="36" t="s">
        <v>66</v>
      </c>
      <c r="C44" s="36" t="s">
        <v>27</v>
      </c>
      <c r="D44" s="37">
        <v>0.322916666666667</v>
      </c>
      <c r="E44" s="37">
        <v>0.334027777777778</v>
      </c>
      <c r="F44" s="38" t="str">
        <f t="shared" si="1"/>
        <v>16</v>
      </c>
      <c r="G44" s="8"/>
      <c r="H44" s="14" t="str">
        <f t="shared" si="2"/>
        <v>09/05</v>
      </c>
      <c r="I44" s="15" t="str">
        <f t="shared" si="3"/>
        <v>Matin</v>
      </c>
    </row>
    <row r="45" ht="15.0" customHeight="1">
      <c r="A45" s="39">
        <v>46151.0</v>
      </c>
      <c r="B45" s="36" t="s">
        <v>66</v>
      </c>
      <c r="C45" s="36" t="s">
        <v>27</v>
      </c>
      <c r="D45" s="37">
        <v>0.463888888888889</v>
      </c>
      <c r="E45" s="37">
        <v>0.472916666666667</v>
      </c>
      <c r="F45" s="38" t="str">
        <f t="shared" si="1"/>
        <v>13</v>
      </c>
      <c r="G45" s="8"/>
      <c r="H45" s="14" t="str">
        <f t="shared" si="2"/>
        <v>09/05</v>
      </c>
      <c r="I45" s="15" t="str">
        <f t="shared" si="3"/>
        <v>Matin</v>
      </c>
    </row>
    <row r="46" ht="15.0" customHeight="1">
      <c r="A46" s="39">
        <v>46151.0</v>
      </c>
      <c r="B46" s="36" t="s">
        <v>66</v>
      </c>
      <c r="C46" s="36" t="s">
        <v>27</v>
      </c>
      <c r="D46" s="37">
        <v>0.554166666666667</v>
      </c>
      <c r="E46" s="37">
        <v>0.560416666666667</v>
      </c>
      <c r="F46" s="38" t="str">
        <f t="shared" si="1"/>
        <v>9</v>
      </c>
      <c r="G46" s="8"/>
      <c r="H46" s="14" t="str">
        <f t="shared" si="2"/>
        <v>09/05</v>
      </c>
      <c r="I46" s="15" t="str">
        <f t="shared" si="3"/>
        <v>Matin</v>
      </c>
    </row>
    <row r="47" ht="15.0" customHeight="1">
      <c r="A47" s="39">
        <v>46151.0</v>
      </c>
      <c r="B47" s="36" t="s">
        <v>66</v>
      </c>
      <c r="C47" s="36" t="s">
        <v>27</v>
      </c>
      <c r="D47" s="37">
        <v>0.583333333333333</v>
      </c>
      <c r="E47" s="37">
        <v>0.586805555555556</v>
      </c>
      <c r="F47" s="38" t="str">
        <f t="shared" si="1"/>
        <v>5</v>
      </c>
      <c r="G47" s="8"/>
      <c r="H47" s="14" t="str">
        <f t="shared" si="2"/>
        <v>09/05</v>
      </c>
      <c r="I47" s="15" t="str">
        <f t="shared" si="3"/>
        <v>Après-midi</v>
      </c>
    </row>
    <row r="48" ht="15.0" customHeight="1">
      <c r="A48" s="39">
        <v>46151.0</v>
      </c>
      <c r="B48" s="36" t="s">
        <v>54</v>
      </c>
      <c r="C48" s="36" t="s">
        <v>27</v>
      </c>
      <c r="D48" s="37">
        <v>0.618055555555556</v>
      </c>
      <c r="E48" s="37">
        <v>0.638888888888889</v>
      </c>
      <c r="F48" s="38" t="str">
        <f t="shared" si="1"/>
        <v>30</v>
      </c>
      <c r="G48" s="8"/>
      <c r="H48" s="14" t="str">
        <f t="shared" si="2"/>
        <v>09/05</v>
      </c>
      <c r="I48" s="15" t="str">
        <f t="shared" si="3"/>
        <v>Après-midi</v>
      </c>
    </row>
    <row r="49" ht="15.0" customHeight="1">
      <c r="A49" s="39">
        <v>46151.0</v>
      </c>
      <c r="B49" s="36" t="s">
        <v>54</v>
      </c>
      <c r="C49" s="36" t="s">
        <v>27</v>
      </c>
      <c r="D49" s="37">
        <v>0.7</v>
      </c>
      <c r="E49" s="37">
        <v>0.706944444444445</v>
      </c>
      <c r="F49" s="38" t="str">
        <f t="shared" si="1"/>
        <v>10</v>
      </c>
      <c r="G49" s="8"/>
      <c r="H49" s="14" t="str">
        <f t="shared" si="2"/>
        <v>09/05</v>
      </c>
      <c r="I49" s="15" t="str">
        <f t="shared" si="3"/>
        <v>Après-midi</v>
      </c>
    </row>
    <row r="50" ht="15.0" customHeight="1">
      <c r="A50" s="39">
        <v>46151.0</v>
      </c>
      <c r="B50" s="36" t="s">
        <v>54</v>
      </c>
      <c r="C50" s="36" t="s">
        <v>27</v>
      </c>
      <c r="D50" s="37">
        <v>0.845833333333333</v>
      </c>
      <c r="E50" s="37">
        <v>0.854166666666667</v>
      </c>
      <c r="F50" s="38" t="str">
        <f t="shared" si="1"/>
        <v>12</v>
      </c>
      <c r="G50" s="8"/>
      <c r="H50" s="14" t="str">
        <f t="shared" si="2"/>
        <v>09/05</v>
      </c>
      <c r="I50" s="15" t="str">
        <f t="shared" si="3"/>
        <v>Après-midi</v>
      </c>
    </row>
    <row r="51" ht="15.0" customHeight="1">
      <c r="A51" s="39">
        <v>46151.0</v>
      </c>
      <c r="B51" s="36" t="s">
        <v>54</v>
      </c>
      <c r="C51" s="36" t="s">
        <v>27</v>
      </c>
      <c r="D51" s="37">
        <v>0.916666666666667</v>
      </c>
      <c r="E51" s="37">
        <v>0.920138888888889</v>
      </c>
      <c r="F51" s="38" t="str">
        <f t="shared" si="1"/>
        <v>5</v>
      </c>
      <c r="G51" s="8"/>
      <c r="H51" s="14" t="str">
        <f t="shared" si="2"/>
        <v>09/05</v>
      </c>
      <c r="I51" s="15" t="str">
        <f t="shared" si="3"/>
        <v>Nuit</v>
      </c>
    </row>
    <row r="52" ht="15.0" customHeight="1">
      <c r="A52" s="39">
        <v>46152.0</v>
      </c>
      <c r="B52" s="36" t="s">
        <v>67</v>
      </c>
      <c r="C52" s="36" t="s">
        <v>27</v>
      </c>
      <c r="D52" s="37">
        <v>0.159027777777778</v>
      </c>
      <c r="E52" s="37">
        <v>0.163888888888889</v>
      </c>
      <c r="F52" s="38" t="str">
        <f t="shared" si="1"/>
        <v>7</v>
      </c>
      <c r="G52" s="8"/>
      <c r="H52" s="14" t="str">
        <f t="shared" si="2"/>
        <v>09/05</v>
      </c>
      <c r="I52" s="15" t="str">
        <f t="shared" si="3"/>
        <v>Nuit</v>
      </c>
    </row>
    <row r="53" ht="15.0" customHeight="1">
      <c r="A53" s="39">
        <v>46152.0</v>
      </c>
      <c r="B53" s="36" t="s">
        <v>67</v>
      </c>
      <c r="C53" s="36" t="s">
        <v>27</v>
      </c>
      <c r="D53" s="37">
        <v>0.25</v>
      </c>
      <c r="E53" s="37">
        <v>0.256944444444444</v>
      </c>
      <c r="F53" s="38" t="str">
        <f t="shared" si="1"/>
        <v>10</v>
      </c>
      <c r="G53" s="8"/>
      <c r="H53" s="14" t="str">
        <f t="shared" si="2"/>
        <v>10/05</v>
      </c>
      <c r="I53" s="15" t="str">
        <f t="shared" si="3"/>
        <v>Matin</v>
      </c>
    </row>
    <row r="54" ht="15.0" customHeight="1">
      <c r="A54" s="39">
        <v>46152.0</v>
      </c>
      <c r="B54" s="36" t="s">
        <v>66</v>
      </c>
      <c r="C54" s="36" t="s">
        <v>27</v>
      </c>
      <c r="D54" s="37">
        <v>0.371527777777778</v>
      </c>
      <c r="E54" s="37">
        <v>0.373611111111111</v>
      </c>
      <c r="F54" s="38" t="str">
        <f t="shared" si="1"/>
        <v>3</v>
      </c>
      <c r="G54" s="8"/>
      <c r="H54" s="14" t="str">
        <f t="shared" si="2"/>
        <v>10/05</v>
      </c>
      <c r="I54" s="15" t="str">
        <f t="shared" si="3"/>
        <v>Matin</v>
      </c>
    </row>
    <row r="55" ht="15.0" customHeight="1">
      <c r="A55" s="39">
        <v>46152.0</v>
      </c>
      <c r="B55" s="36" t="s">
        <v>66</v>
      </c>
      <c r="C55" s="36" t="s">
        <v>27</v>
      </c>
      <c r="D55" s="37">
        <v>0.486111111111111</v>
      </c>
      <c r="E55" s="37">
        <v>0.498611111111111</v>
      </c>
      <c r="F55" s="38" t="str">
        <f t="shared" si="1"/>
        <v>18</v>
      </c>
      <c r="G55" s="8"/>
      <c r="H55" s="14" t="str">
        <f t="shared" si="2"/>
        <v>10/05</v>
      </c>
      <c r="I55" s="15" t="str">
        <f t="shared" si="3"/>
        <v>Matin</v>
      </c>
    </row>
    <row r="56" ht="15.0" customHeight="1">
      <c r="A56" s="39">
        <v>46153.0</v>
      </c>
      <c r="B56" s="36" t="s">
        <v>54</v>
      </c>
      <c r="C56" s="36" t="s">
        <v>27</v>
      </c>
      <c r="D56" s="37">
        <v>0.375694444444444</v>
      </c>
      <c r="E56" s="37">
        <v>0.389583333333333</v>
      </c>
      <c r="F56" s="38" t="str">
        <f t="shared" si="1"/>
        <v>20</v>
      </c>
      <c r="G56" s="8"/>
      <c r="H56" s="14" t="str">
        <f t="shared" si="2"/>
        <v>11/05</v>
      </c>
      <c r="I56" s="15" t="str">
        <f t="shared" si="3"/>
        <v>Matin</v>
      </c>
    </row>
    <row r="57" ht="15.0" customHeight="1">
      <c r="A57" s="39">
        <v>46153.0</v>
      </c>
      <c r="B57" s="36" t="s">
        <v>54</v>
      </c>
      <c r="C57" s="36" t="s">
        <v>27</v>
      </c>
      <c r="D57" s="37">
        <v>0.520833333333333</v>
      </c>
      <c r="E57" s="37">
        <v>0.527777777777778</v>
      </c>
      <c r="F57" s="38" t="str">
        <f t="shared" si="1"/>
        <v>10</v>
      </c>
      <c r="G57" s="8"/>
      <c r="H57" s="14" t="str">
        <f t="shared" si="2"/>
        <v>11/05</v>
      </c>
      <c r="I57" s="15" t="str">
        <f t="shared" si="3"/>
        <v>Matin</v>
      </c>
    </row>
    <row r="58" ht="15.0" customHeight="1">
      <c r="A58" s="39">
        <v>46153.0</v>
      </c>
      <c r="B58" s="36" t="s">
        <v>54</v>
      </c>
      <c r="C58" s="36" t="s">
        <v>27</v>
      </c>
      <c r="D58" s="37">
        <v>0.579861111111111</v>
      </c>
      <c r="E58" s="37">
        <v>0.590277777777778</v>
      </c>
      <c r="F58" s="38" t="str">
        <f t="shared" si="1"/>
        <v>15</v>
      </c>
      <c r="G58" s="8"/>
      <c r="H58" s="14" t="str">
        <f t="shared" si="2"/>
        <v>11/05</v>
      </c>
      <c r="I58" s="15" t="str">
        <f t="shared" si="3"/>
        <v>Matin</v>
      </c>
    </row>
    <row r="59" ht="15.0" customHeight="1">
      <c r="A59" s="39">
        <v>46153.0</v>
      </c>
      <c r="B59" s="36" t="s">
        <v>66</v>
      </c>
      <c r="C59" s="36" t="s">
        <v>27</v>
      </c>
      <c r="D59" s="37">
        <v>0.690972222222222</v>
      </c>
      <c r="E59" s="37">
        <v>0.702777777777778</v>
      </c>
      <c r="F59" s="38" t="str">
        <f t="shared" si="1"/>
        <v>17</v>
      </c>
      <c r="G59" s="8"/>
      <c r="H59" s="14" t="str">
        <f t="shared" si="2"/>
        <v>11/05</v>
      </c>
      <c r="I59" s="15" t="str">
        <f t="shared" si="3"/>
        <v>Après-midi</v>
      </c>
    </row>
    <row r="60" ht="15.0" customHeight="1">
      <c r="A60" s="39">
        <v>46153.0</v>
      </c>
      <c r="B60" s="36" t="s">
        <v>66</v>
      </c>
      <c r="C60" s="36" t="s">
        <v>27</v>
      </c>
      <c r="D60" s="37">
        <v>0.840277777777778</v>
      </c>
      <c r="E60" s="37">
        <v>0.851388888888889</v>
      </c>
      <c r="F60" s="38" t="str">
        <f t="shared" si="1"/>
        <v>16</v>
      </c>
      <c r="G60" s="8"/>
      <c r="H60" s="14" t="str">
        <f t="shared" si="2"/>
        <v>11/05</v>
      </c>
      <c r="I60" s="15" t="str">
        <f t="shared" si="3"/>
        <v>Après-midi</v>
      </c>
    </row>
    <row r="61" ht="15.0" customHeight="1">
      <c r="A61" s="39">
        <v>46153.0</v>
      </c>
      <c r="B61" s="36" t="s">
        <v>66</v>
      </c>
      <c r="C61" s="36" t="s">
        <v>27</v>
      </c>
      <c r="D61" s="37">
        <v>0.904861111111111</v>
      </c>
      <c r="E61" s="37">
        <v>0.911111111111111</v>
      </c>
      <c r="F61" s="38" t="str">
        <f t="shared" si="1"/>
        <v>9</v>
      </c>
      <c r="G61" s="8"/>
      <c r="H61" s="14" t="str">
        <f t="shared" si="2"/>
        <v>11/05</v>
      </c>
      <c r="I61" s="15" t="str">
        <f t="shared" si="3"/>
        <v>Après-midi</v>
      </c>
    </row>
    <row r="62" ht="15.0" customHeight="1">
      <c r="A62" s="39">
        <v>46153.0</v>
      </c>
      <c r="B62" s="36" t="s">
        <v>66</v>
      </c>
      <c r="C62" s="36" t="s">
        <v>27</v>
      </c>
      <c r="D62" s="37">
        <v>0.916666666666667</v>
      </c>
      <c r="E62" s="37">
        <v>0.919444444444444</v>
      </c>
      <c r="F62" s="38" t="str">
        <f t="shared" si="1"/>
        <v>4</v>
      </c>
      <c r="G62" s="8"/>
      <c r="H62" s="14" t="str">
        <f t="shared" si="2"/>
        <v>11/05</v>
      </c>
      <c r="I62" s="15" t="str">
        <f t="shared" si="3"/>
        <v>Nuit</v>
      </c>
    </row>
    <row r="63" ht="15.0" customHeight="1">
      <c r="A63" s="39">
        <v>46154.0</v>
      </c>
      <c r="B63" s="36" t="s">
        <v>67</v>
      </c>
      <c r="C63" s="36" t="s">
        <v>27</v>
      </c>
      <c r="D63" s="37">
        <v>0.126388888888889</v>
      </c>
      <c r="E63" s="37">
        <v>0.131944444444444</v>
      </c>
      <c r="F63" s="38" t="str">
        <f t="shared" si="1"/>
        <v>8</v>
      </c>
      <c r="G63" s="8"/>
      <c r="H63" s="14" t="str">
        <f t="shared" si="2"/>
        <v>11/05</v>
      </c>
      <c r="I63" s="15" t="str">
        <f t="shared" si="3"/>
        <v>Nuit</v>
      </c>
    </row>
    <row r="64" ht="15.0" customHeight="1">
      <c r="A64" s="39">
        <v>46154.0</v>
      </c>
      <c r="B64" s="36" t="s">
        <v>67</v>
      </c>
      <c r="C64" s="36" t="s">
        <v>27</v>
      </c>
      <c r="D64" s="37">
        <v>0.138888888888889</v>
      </c>
      <c r="E64" s="37">
        <v>0.14375</v>
      </c>
      <c r="F64" s="38" t="str">
        <f t="shared" si="1"/>
        <v>7</v>
      </c>
      <c r="G64" s="8"/>
      <c r="H64" s="14" t="str">
        <f t="shared" si="2"/>
        <v>11/05</v>
      </c>
      <c r="I64" s="15" t="str">
        <f t="shared" si="3"/>
        <v>Nuit</v>
      </c>
    </row>
    <row r="65" ht="15.0" customHeight="1">
      <c r="A65" s="39">
        <v>46154.0</v>
      </c>
      <c r="B65" s="36" t="s">
        <v>67</v>
      </c>
      <c r="C65" s="36" t="s">
        <v>27</v>
      </c>
      <c r="D65" s="37">
        <v>0.208333333333333</v>
      </c>
      <c r="E65" s="37">
        <v>0.219444444444444</v>
      </c>
      <c r="F65" s="38" t="str">
        <f t="shared" si="1"/>
        <v>16</v>
      </c>
      <c r="G65" s="8"/>
      <c r="H65" s="14" t="str">
        <f t="shared" si="2"/>
        <v>11/05</v>
      </c>
      <c r="I65" s="15" t="str">
        <f t="shared" si="3"/>
        <v>Nuit</v>
      </c>
    </row>
    <row r="66" ht="15.0" customHeight="1">
      <c r="A66" s="39">
        <v>46154.0</v>
      </c>
      <c r="B66" s="36" t="s">
        <v>67</v>
      </c>
      <c r="C66" s="36" t="s">
        <v>27</v>
      </c>
      <c r="D66" s="37">
        <v>0.25</v>
      </c>
      <c r="E66" s="37">
        <v>0.253472222222222</v>
      </c>
      <c r="F66" s="38" t="str">
        <f t="shared" si="1"/>
        <v>5</v>
      </c>
      <c r="G66" s="8"/>
      <c r="H66" s="14" t="str">
        <f t="shared" si="2"/>
        <v>12/05</v>
      </c>
      <c r="I66" s="15" t="str">
        <f t="shared" si="3"/>
        <v>Matin</v>
      </c>
    </row>
    <row r="67" ht="15.0" customHeight="1">
      <c r="A67" s="39">
        <v>46154.0</v>
      </c>
      <c r="B67" s="36" t="s">
        <v>67</v>
      </c>
      <c r="C67" s="36" t="s">
        <v>27</v>
      </c>
      <c r="D67" s="37">
        <v>0.272916666666667</v>
      </c>
      <c r="E67" s="37">
        <v>0.279861111111111</v>
      </c>
      <c r="F67" s="38" t="str">
        <f t="shared" si="1"/>
        <v>10</v>
      </c>
      <c r="G67" s="8"/>
      <c r="H67" s="14" t="str">
        <f t="shared" si="2"/>
        <v>12/05</v>
      </c>
      <c r="I67" s="15" t="str">
        <f t="shared" si="3"/>
        <v>Matin</v>
      </c>
    </row>
    <row r="68" ht="15.0" customHeight="1">
      <c r="A68" s="39">
        <v>46154.0</v>
      </c>
      <c r="B68" s="36" t="s">
        <v>67</v>
      </c>
      <c r="C68" s="36" t="s">
        <v>27</v>
      </c>
      <c r="D68" s="37">
        <v>0.4375</v>
      </c>
      <c r="E68" s="37">
        <v>0.444444444444444</v>
      </c>
      <c r="F68" s="38" t="str">
        <f t="shared" si="1"/>
        <v>10</v>
      </c>
      <c r="G68" s="8"/>
      <c r="H68" s="14" t="str">
        <f t="shared" si="2"/>
        <v>12/05</v>
      </c>
      <c r="I68" s="15" t="str">
        <f t="shared" si="3"/>
        <v>Matin</v>
      </c>
    </row>
    <row r="69" ht="15.0" customHeight="1">
      <c r="A69" s="39">
        <v>46154.0</v>
      </c>
      <c r="B69" s="36" t="s">
        <v>67</v>
      </c>
      <c r="C69" s="36" t="s">
        <v>27</v>
      </c>
      <c r="D69" s="37">
        <v>0.504861111111111</v>
      </c>
      <c r="E69" s="37">
        <v>0.510416666666667</v>
      </c>
      <c r="F69" s="38" t="str">
        <f t="shared" si="1"/>
        <v>8</v>
      </c>
      <c r="G69" s="8"/>
      <c r="H69" s="14" t="str">
        <f t="shared" si="2"/>
        <v>12/05</v>
      </c>
      <c r="I69" s="15" t="str">
        <f t="shared" si="3"/>
        <v>Matin</v>
      </c>
    </row>
    <row r="70" ht="15.0" customHeight="1">
      <c r="A70" s="39">
        <v>46154.0</v>
      </c>
      <c r="B70" s="36" t="s">
        <v>67</v>
      </c>
      <c r="C70" s="36" t="s">
        <v>27</v>
      </c>
      <c r="D70" s="37">
        <v>0.583333333333333</v>
      </c>
      <c r="E70" s="37">
        <v>0.586805555555556</v>
      </c>
      <c r="F70" s="38" t="str">
        <f t="shared" si="1"/>
        <v>5</v>
      </c>
      <c r="G70" s="8"/>
      <c r="H70" s="14" t="str">
        <f t="shared" si="2"/>
        <v>12/05</v>
      </c>
      <c r="I70" s="15" t="str">
        <f t="shared" si="3"/>
        <v>Après-midi</v>
      </c>
    </row>
    <row r="71" ht="15.0" customHeight="1">
      <c r="A71" s="39">
        <v>46154.0</v>
      </c>
      <c r="B71" s="36" t="s">
        <v>66</v>
      </c>
      <c r="C71" s="36" t="s">
        <v>27</v>
      </c>
      <c r="D71" s="37">
        <v>0.638888888888889</v>
      </c>
      <c r="E71" s="37">
        <v>0.652777777777778</v>
      </c>
      <c r="F71" s="38" t="str">
        <f t="shared" si="1"/>
        <v>20</v>
      </c>
      <c r="G71" s="8"/>
      <c r="H71" s="14" t="str">
        <f t="shared" si="2"/>
        <v>12/05</v>
      </c>
      <c r="I71" s="15" t="str">
        <f t="shared" si="3"/>
        <v>Après-midi</v>
      </c>
    </row>
    <row r="72" ht="15.0" customHeight="1">
      <c r="A72" s="39">
        <v>46154.0</v>
      </c>
      <c r="B72" s="36" t="s">
        <v>66</v>
      </c>
      <c r="C72" s="36" t="s">
        <v>27</v>
      </c>
      <c r="D72" s="37">
        <v>0.732638888888889</v>
      </c>
      <c r="E72" s="37">
        <v>0.741666666666667</v>
      </c>
      <c r="F72" s="38" t="str">
        <f t="shared" si="1"/>
        <v>13</v>
      </c>
      <c r="G72" s="8"/>
      <c r="H72" s="14" t="str">
        <f t="shared" si="2"/>
        <v>12/05</v>
      </c>
      <c r="I72" s="15" t="str">
        <f t="shared" si="3"/>
        <v>Après-midi</v>
      </c>
    </row>
    <row r="73" ht="15.0" customHeight="1">
      <c r="A73" s="39">
        <v>46154.0</v>
      </c>
      <c r="B73" s="36" t="s">
        <v>66</v>
      </c>
      <c r="C73" s="36" t="s">
        <v>27</v>
      </c>
      <c r="D73" s="37">
        <v>0.828472222222222</v>
      </c>
      <c r="E73" s="37">
        <v>0.851388888888889</v>
      </c>
      <c r="F73" s="38" t="str">
        <f t="shared" si="1"/>
        <v>33</v>
      </c>
      <c r="G73" s="8"/>
      <c r="H73" s="14" t="str">
        <f t="shared" si="2"/>
        <v>12/05</v>
      </c>
      <c r="I73" s="15" t="str">
        <f t="shared" si="3"/>
        <v>Après-midi</v>
      </c>
    </row>
    <row r="74" ht="15.0" customHeight="1">
      <c r="A74" s="39">
        <v>46154.0</v>
      </c>
      <c r="B74" s="36" t="s">
        <v>66</v>
      </c>
      <c r="C74" s="36" t="s">
        <v>27</v>
      </c>
      <c r="D74" s="37">
        <v>0.909722222222222</v>
      </c>
      <c r="E74" s="37">
        <v>0.922916666666667</v>
      </c>
      <c r="F74" s="38" t="str">
        <f t="shared" si="1"/>
        <v>19</v>
      </c>
      <c r="G74" s="8"/>
      <c r="H74" s="14" t="str">
        <f t="shared" si="2"/>
        <v>12/05</v>
      </c>
      <c r="I74" s="15" t="str">
        <f t="shared" si="3"/>
        <v>Après-midi</v>
      </c>
    </row>
    <row r="75" ht="15.0" customHeight="1">
      <c r="A75" s="39">
        <v>46154.0</v>
      </c>
      <c r="B75" s="36" t="s">
        <v>67</v>
      </c>
      <c r="C75" s="36" t="s">
        <v>27</v>
      </c>
      <c r="D75" s="37">
        <v>0.951388888888889</v>
      </c>
      <c r="E75" s="37">
        <v>0.958333333333333</v>
      </c>
      <c r="F75" s="38" t="str">
        <f t="shared" si="1"/>
        <v>10</v>
      </c>
      <c r="G75" s="8"/>
      <c r="H75" s="14" t="str">
        <f t="shared" si="2"/>
        <v>12/05</v>
      </c>
      <c r="I75" s="15" t="str">
        <f t="shared" si="3"/>
        <v>Nuit</v>
      </c>
    </row>
    <row r="76" ht="15.0" customHeight="1">
      <c r="A76" s="39">
        <v>46155.0</v>
      </c>
      <c r="B76" s="36" t="s">
        <v>67</v>
      </c>
      <c r="C76" s="36" t="s">
        <v>27</v>
      </c>
      <c r="D76" s="37">
        <v>0.104166666666667</v>
      </c>
      <c r="E76" s="37">
        <v>0.113194444444444</v>
      </c>
      <c r="F76" s="38" t="str">
        <f t="shared" si="1"/>
        <v>13</v>
      </c>
      <c r="G76" s="8"/>
      <c r="H76" s="14" t="str">
        <f t="shared" si="2"/>
        <v>12/05</v>
      </c>
      <c r="I76" s="15" t="str">
        <f t="shared" si="3"/>
        <v>Nuit</v>
      </c>
    </row>
    <row r="77" ht="15.0" customHeight="1">
      <c r="A77" s="39">
        <v>46155.0</v>
      </c>
      <c r="B77" s="36" t="s">
        <v>67</v>
      </c>
      <c r="C77" s="36" t="s">
        <v>27</v>
      </c>
      <c r="D77" s="37">
        <v>0.173611111111111</v>
      </c>
      <c r="E77" s="37">
        <v>0.18125</v>
      </c>
      <c r="F77" s="38" t="str">
        <f t="shared" si="1"/>
        <v>11</v>
      </c>
      <c r="G77" s="8"/>
      <c r="H77" s="14" t="str">
        <f t="shared" si="2"/>
        <v>12/05</v>
      </c>
      <c r="I77" s="15" t="str">
        <f t="shared" si="3"/>
        <v>Nuit</v>
      </c>
    </row>
    <row r="78" ht="15.0" customHeight="1">
      <c r="A78" s="39">
        <v>46155.0</v>
      </c>
      <c r="B78" s="36" t="s">
        <v>67</v>
      </c>
      <c r="C78" s="36" t="s">
        <v>27</v>
      </c>
      <c r="D78" s="37">
        <v>0.20625</v>
      </c>
      <c r="E78" s="37">
        <v>0.214583333333333</v>
      </c>
      <c r="F78" s="38" t="str">
        <f t="shared" si="1"/>
        <v>12</v>
      </c>
      <c r="G78" s="8"/>
      <c r="H78" s="14" t="str">
        <f t="shared" si="2"/>
        <v>12/05</v>
      </c>
      <c r="I78" s="15" t="str">
        <f t="shared" si="3"/>
        <v>Nuit</v>
      </c>
    </row>
    <row r="79" ht="15.0" customHeight="1">
      <c r="A79" s="39">
        <v>46155.0</v>
      </c>
      <c r="B79" s="36" t="s">
        <v>67</v>
      </c>
      <c r="C79" s="36" t="s">
        <v>27</v>
      </c>
      <c r="D79" s="37">
        <v>0.25</v>
      </c>
      <c r="E79" s="37">
        <v>0.253472222222222</v>
      </c>
      <c r="F79" s="38" t="str">
        <f t="shared" si="1"/>
        <v>5</v>
      </c>
      <c r="G79" s="8"/>
      <c r="H79" s="14" t="str">
        <f t="shared" si="2"/>
        <v>13/05</v>
      </c>
      <c r="I79" s="15" t="str">
        <f t="shared" si="3"/>
        <v>Matin</v>
      </c>
    </row>
    <row r="80" ht="15.0" customHeight="1">
      <c r="A80" s="39">
        <v>46155.0</v>
      </c>
      <c r="B80" s="36" t="s">
        <v>54</v>
      </c>
      <c r="C80" s="36" t="s">
        <v>27</v>
      </c>
      <c r="D80" s="37">
        <v>0.331944444444444</v>
      </c>
      <c r="E80" s="37">
        <v>0.34375</v>
      </c>
      <c r="F80" s="38" t="str">
        <f t="shared" si="1"/>
        <v>17</v>
      </c>
      <c r="G80" s="8"/>
      <c r="H80" s="14" t="str">
        <f t="shared" si="2"/>
        <v>13/05</v>
      </c>
      <c r="I80" s="15" t="str">
        <f t="shared" si="3"/>
        <v>Matin</v>
      </c>
    </row>
    <row r="81" ht="15.0" customHeight="1">
      <c r="A81" s="39">
        <v>46155.0</v>
      </c>
      <c r="B81" s="36" t="s">
        <v>54</v>
      </c>
      <c r="C81" s="36" t="s">
        <v>27</v>
      </c>
      <c r="D81" s="37">
        <v>0.46875</v>
      </c>
      <c r="E81" s="37">
        <v>0.479166666666667</v>
      </c>
      <c r="F81" s="38" t="str">
        <f t="shared" si="1"/>
        <v>15</v>
      </c>
      <c r="G81" s="8"/>
      <c r="H81" s="14" t="str">
        <f t="shared" si="2"/>
        <v>13/05</v>
      </c>
      <c r="I81" s="15" t="str">
        <f t="shared" si="3"/>
        <v>Matin</v>
      </c>
    </row>
    <row r="82" ht="15.0" customHeight="1">
      <c r="A82" s="39">
        <v>46155.0</v>
      </c>
      <c r="B82" s="36" t="s">
        <v>54</v>
      </c>
      <c r="C82" s="36" t="s">
        <v>27</v>
      </c>
      <c r="D82" s="37">
        <v>0.583333333333333</v>
      </c>
      <c r="E82" s="37">
        <v>0.586805555555556</v>
      </c>
      <c r="F82" s="38" t="str">
        <f t="shared" si="1"/>
        <v>5</v>
      </c>
      <c r="G82" s="8"/>
      <c r="H82" s="14" t="str">
        <f t="shared" si="2"/>
        <v>13/05</v>
      </c>
      <c r="I82" s="15" t="str">
        <f t="shared" si="3"/>
        <v>Après-midi</v>
      </c>
    </row>
    <row r="83" ht="15.0" customHeight="1">
      <c r="A83" s="39">
        <v>46155.0</v>
      </c>
      <c r="B83" s="36" t="s">
        <v>66</v>
      </c>
      <c r="C83" s="36" t="s">
        <v>27</v>
      </c>
      <c r="D83" s="37">
        <v>0.604166666666667</v>
      </c>
      <c r="E83" s="37">
        <v>0.611805555555556</v>
      </c>
      <c r="F83" s="38" t="str">
        <f t="shared" si="1"/>
        <v>11</v>
      </c>
      <c r="G83" s="8"/>
      <c r="H83" s="14" t="str">
        <f t="shared" si="2"/>
        <v>13/05</v>
      </c>
      <c r="I83" s="15" t="str">
        <f t="shared" si="3"/>
        <v>Après-midi</v>
      </c>
    </row>
    <row r="84" ht="15.0" customHeight="1">
      <c r="A84" s="39">
        <v>46155.0</v>
      </c>
      <c r="B84" s="36" t="s">
        <v>66</v>
      </c>
      <c r="C84" s="36" t="s">
        <v>27</v>
      </c>
      <c r="D84" s="37">
        <v>0.760416666666667</v>
      </c>
      <c r="E84" s="37">
        <v>0.76875</v>
      </c>
      <c r="F84" s="38" t="str">
        <f t="shared" si="1"/>
        <v>12</v>
      </c>
      <c r="G84" s="8"/>
      <c r="H84" s="14" t="str">
        <f t="shared" si="2"/>
        <v>13/05</v>
      </c>
      <c r="I84" s="15" t="str">
        <f t="shared" si="3"/>
        <v>Après-midi</v>
      </c>
    </row>
    <row r="85" ht="15.0" customHeight="1">
      <c r="A85" s="39">
        <v>46155.0</v>
      </c>
      <c r="B85" s="36" t="s">
        <v>66</v>
      </c>
      <c r="C85" s="36" t="s">
        <v>27</v>
      </c>
      <c r="D85" s="37">
        <v>0.916666666666667</v>
      </c>
      <c r="E85" s="37">
        <v>0.920138888888889</v>
      </c>
      <c r="F85" s="38" t="str">
        <f t="shared" si="1"/>
        <v>5</v>
      </c>
      <c r="G85" s="8"/>
      <c r="H85" s="14" t="str">
        <f t="shared" si="2"/>
        <v>13/05</v>
      </c>
      <c r="I85" s="15" t="str">
        <f t="shared" si="3"/>
        <v>Nuit</v>
      </c>
    </row>
    <row r="86" ht="15.0" customHeight="1">
      <c r="A86" s="39">
        <v>46155.0</v>
      </c>
      <c r="B86" s="36" t="s">
        <v>67</v>
      </c>
      <c r="C86" s="36" t="s">
        <v>27</v>
      </c>
      <c r="D86" s="37">
        <v>0.970138888888889</v>
      </c>
      <c r="E86" s="37">
        <v>0.98125</v>
      </c>
      <c r="F86" s="38" t="str">
        <f t="shared" si="1"/>
        <v>16</v>
      </c>
      <c r="G86" s="8"/>
      <c r="H86" s="14" t="str">
        <f t="shared" si="2"/>
        <v>13/05</v>
      </c>
      <c r="I86" s="15" t="str">
        <f t="shared" si="3"/>
        <v>Nuit</v>
      </c>
    </row>
    <row r="87" ht="15.0" customHeight="1">
      <c r="A87" s="39">
        <v>46156.0</v>
      </c>
      <c r="B87" s="36" t="s">
        <v>67</v>
      </c>
      <c r="C87" s="36" t="s">
        <v>27</v>
      </c>
      <c r="D87" s="37">
        <v>0.211111111111111</v>
      </c>
      <c r="E87" s="37">
        <v>0.220833333333333</v>
      </c>
      <c r="F87" s="38" t="str">
        <f t="shared" si="1"/>
        <v>14</v>
      </c>
      <c r="G87" s="8"/>
      <c r="H87" s="14" t="str">
        <f t="shared" si="2"/>
        <v>13/05</v>
      </c>
      <c r="I87" s="15" t="str">
        <f t="shared" si="3"/>
        <v>Nuit</v>
      </c>
    </row>
    <row r="88" ht="14.25" customHeight="1">
      <c r="A88" s="39">
        <v>46156.0</v>
      </c>
      <c r="B88" s="36" t="s">
        <v>67</v>
      </c>
      <c r="C88" s="36" t="s">
        <v>27</v>
      </c>
      <c r="D88" s="37">
        <v>0.25</v>
      </c>
      <c r="E88" s="37">
        <v>0.253472222222222</v>
      </c>
      <c r="F88" s="38" t="str">
        <f t="shared" si="1"/>
        <v>5</v>
      </c>
      <c r="G88" s="8"/>
      <c r="H88" s="14" t="str">
        <f t="shared" si="2"/>
        <v>14/05</v>
      </c>
      <c r="I88" s="15" t="str">
        <f t="shared" si="3"/>
        <v>Matin</v>
      </c>
    </row>
    <row r="89" ht="14.25" customHeight="1">
      <c r="A89" s="39">
        <v>46156.0</v>
      </c>
      <c r="B89" s="36" t="s">
        <v>54</v>
      </c>
      <c r="C89" s="36" t="s">
        <v>27</v>
      </c>
      <c r="D89" s="37">
        <v>0.284722222222222</v>
      </c>
      <c r="E89" s="37">
        <v>0.292361111111111</v>
      </c>
      <c r="F89" s="38" t="str">
        <f t="shared" si="1"/>
        <v>11</v>
      </c>
      <c r="G89" s="8"/>
      <c r="H89" s="14" t="str">
        <f t="shared" si="2"/>
        <v>14/05</v>
      </c>
      <c r="I89" s="15" t="str">
        <f t="shared" si="3"/>
        <v>Matin</v>
      </c>
    </row>
    <row r="90" ht="14.25" customHeight="1">
      <c r="A90" s="39">
        <v>46156.0</v>
      </c>
      <c r="B90" s="36" t="s">
        <v>54</v>
      </c>
      <c r="C90" s="36" t="s">
        <v>27</v>
      </c>
      <c r="D90" s="37">
        <v>0.350694444444444</v>
      </c>
      <c r="E90" s="37">
        <v>0.361111111111111</v>
      </c>
      <c r="F90" s="38" t="str">
        <f t="shared" si="1"/>
        <v>15</v>
      </c>
      <c r="G90" s="8"/>
      <c r="H90" s="14" t="str">
        <f t="shared" si="2"/>
        <v>14/05</v>
      </c>
      <c r="I90" s="15" t="str">
        <f t="shared" si="3"/>
        <v>Matin</v>
      </c>
    </row>
    <row r="91" ht="14.25" customHeight="1">
      <c r="A91" s="39">
        <v>46156.0</v>
      </c>
      <c r="B91" s="36" t="s">
        <v>54</v>
      </c>
      <c r="C91" s="36" t="s">
        <v>27</v>
      </c>
      <c r="D91" s="37">
        <v>0.468055555555556</v>
      </c>
      <c r="E91" s="37">
        <v>0.473611111111111</v>
      </c>
      <c r="F91" s="38" t="str">
        <f t="shared" si="1"/>
        <v>8</v>
      </c>
      <c r="G91" s="8"/>
      <c r="H91" s="14" t="str">
        <f t="shared" si="2"/>
        <v>14/05</v>
      </c>
      <c r="I91" s="15" t="str">
        <f t="shared" si="3"/>
        <v>Matin</v>
      </c>
    </row>
    <row r="92" ht="14.25" customHeight="1">
      <c r="A92" s="39">
        <v>46156.0</v>
      </c>
      <c r="B92" s="36" t="s">
        <v>54</v>
      </c>
      <c r="C92" s="36" t="s">
        <v>27</v>
      </c>
      <c r="D92" s="37">
        <v>0.583333333333333</v>
      </c>
      <c r="E92" s="37">
        <v>0.586805555555556</v>
      </c>
      <c r="F92" s="38" t="str">
        <f t="shared" si="1"/>
        <v>5</v>
      </c>
      <c r="G92" s="8"/>
      <c r="H92" s="14" t="str">
        <f t="shared" si="2"/>
        <v>14/05</v>
      </c>
      <c r="I92" s="15" t="str">
        <f t="shared" si="3"/>
        <v>Après-midi</v>
      </c>
    </row>
    <row r="93" ht="14.25" customHeight="1">
      <c r="A93" s="39">
        <v>46156.0</v>
      </c>
      <c r="B93" s="36" t="s">
        <v>54</v>
      </c>
      <c r="C93" s="36" t="s">
        <v>27</v>
      </c>
      <c r="D93" s="37">
        <v>0.631944444444444</v>
      </c>
      <c r="E93" s="37">
        <v>0.638194444444444</v>
      </c>
      <c r="F93" s="38" t="str">
        <f t="shared" si="1"/>
        <v>9</v>
      </c>
      <c r="G93" s="8"/>
      <c r="H93" s="14" t="str">
        <f t="shared" si="2"/>
        <v>14/05</v>
      </c>
      <c r="I93" s="15" t="str">
        <f t="shared" si="3"/>
        <v>Après-midi</v>
      </c>
    </row>
    <row r="94" ht="14.25" customHeight="1">
      <c r="A94" s="39">
        <v>46156.0</v>
      </c>
      <c r="B94" s="36" t="s">
        <v>54</v>
      </c>
      <c r="C94" s="36" t="s">
        <v>27</v>
      </c>
      <c r="D94" s="37">
        <v>0.684027777777778</v>
      </c>
      <c r="E94" s="37">
        <v>0.6875</v>
      </c>
      <c r="F94" s="38" t="str">
        <f t="shared" si="1"/>
        <v>5</v>
      </c>
      <c r="G94" s="8"/>
      <c r="H94" s="14" t="str">
        <f t="shared" si="2"/>
        <v>14/05</v>
      </c>
      <c r="I94" s="15" t="str">
        <f t="shared" si="3"/>
        <v>Après-midi</v>
      </c>
    </row>
    <row r="95" ht="14.25" customHeight="1">
      <c r="A95" s="39">
        <v>46156.0</v>
      </c>
      <c r="B95" s="36" t="s">
        <v>54</v>
      </c>
      <c r="C95" s="36" t="s">
        <v>27</v>
      </c>
      <c r="D95" s="37">
        <v>0.833333333333333</v>
      </c>
      <c r="E95" s="37">
        <v>0.840277777777778</v>
      </c>
      <c r="F95" s="38" t="str">
        <f t="shared" si="1"/>
        <v>10</v>
      </c>
      <c r="G95" s="8"/>
      <c r="H95" s="14" t="str">
        <f t="shared" si="2"/>
        <v>14/05</v>
      </c>
      <c r="I95" s="15" t="str">
        <f t="shared" si="3"/>
        <v>Après-midi</v>
      </c>
    </row>
    <row r="96" ht="14.25" customHeight="1">
      <c r="A96" s="39">
        <v>46156.0</v>
      </c>
      <c r="B96" s="36" t="s">
        <v>54</v>
      </c>
      <c r="C96" s="36" t="s">
        <v>27</v>
      </c>
      <c r="D96" s="37">
        <v>0.909722222222222</v>
      </c>
      <c r="E96" s="37">
        <v>0.920833333333333</v>
      </c>
      <c r="F96" s="38" t="str">
        <f t="shared" si="1"/>
        <v>16</v>
      </c>
      <c r="G96" s="8"/>
      <c r="H96" s="14" t="str">
        <f t="shared" si="2"/>
        <v>14/05</v>
      </c>
      <c r="I96" s="15" t="str">
        <f t="shared" si="3"/>
        <v>Après-midi</v>
      </c>
    </row>
    <row r="97" ht="14.25" customHeight="1">
      <c r="A97" s="39">
        <v>46157.0</v>
      </c>
      <c r="B97" s="36" t="s">
        <v>67</v>
      </c>
      <c r="C97" s="36" t="s">
        <v>27</v>
      </c>
      <c r="D97" s="37">
        <v>0.127083333333333</v>
      </c>
      <c r="E97" s="37">
        <v>0.136805555555556</v>
      </c>
      <c r="F97" s="38" t="str">
        <f t="shared" si="1"/>
        <v>14</v>
      </c>
      <c r="G97" s="8"/>
      <c r="H97" s="14" t="str">
        <f t="shared" si="2"/>
        <v>14/05</v>
      </c>
      <c r="I97" s="15" t="str">
        <f t="shared" si="3"/>
        <v>Nuit</v>
      </c>
    </row>
    <row r="98" ht="14.25" customHeight="1">
      <c r="A98" s="39">
        <v>46157.0</v>
      </c>
      <c r="B98" s="36" t="s">
        <v>67</v>
      </c>
      <c r="C98" s="36" t="s">
        <v>27</v>
      </c>
      <c r="D98" s="37">
        <v>0.208333333333333</v>
      </c>
      <c r="E98" s="37">
        <v>0.214583333333333</v>
      </c>
      <c r="F98" s="38" t="str">
        <f t="shared" si="1"/>
        <v>9</v>
      </c>
      <c r="G98" s="8"/>
      <c r="H98" s="14" t="str">
        <f t="shared" si="2"/>
        <v>14/05</v>
      </c>
      <c r="I98" s="15" t="str">
        <f t="shared" si="3"/>
        <v>Nuit</v>
      </c>
    </row>
    <row r="99" ht="14.25" customHeight="1">
      <c r="A99" s="39">
        <v>46157.0</v>
      </c>
      <c r="B99" s="36" t="s">
        <v>67</v>
      </c>
      <c r="C99" s="36" t="s">
        <v>27</v>
      </c>
      <c r="D99" s="37">
        <v>0.25</v>
      </c>
      <c r="E99" s="37">
        <v>0.253472222222222</v>
      </c>
      <c r="F99" s="38" t="str">
        <f t="shared" si="1"/>
        <v>5</v>
      </c>
      <c r="G99" s="8"/>
      <c r="H99" s="14" t="str">
        <f t="shared" si="2"/>
        <v>15/05</v>
      </c>
      <c r="I99" s="15" t="str">
        <f t="shared" si="3"/>
        <v>Matin</v>
      </c>
    </row>
    <row r="100" ht="14.25" customHeight="1">
      <c r="A100" s="39">
        <v>46157.0</v>
      </c>
      <c r="B100" s="36" t="s">
        <v>54</v>
      </c>
      <c r="C100" s="36" t="s">
        <v>27</v>
      </c>
      <c r="D100" s="37">
        <v>0.294444444444445</v>
      </c>
      <c r="E100" s="37">
        <v>0.305555555555556</v>
      </c>
      <c r="F100" s="38" t="str">
        <f t="shared" si="1"/>
        <v>16</v>
      </c>
      <c r="G100" s="8"/>
      <c r="H100" s="14" t="str">
        <f t="shared" si="2"/>
        <v>15/05</v>
      </c>
      <c r="I100" s="15" t="str">
        <f t="shared" si="3"/>
        <v>Matin</v>
      </c>
    </row>
    <row r="101" ht="14.25" customHeight="1">
      <c r="A101" s="39">
        <v>46157.0</v>
      </c>
      <c r="B101" s="36" t="s">
        <v>54</v>
      </c>
      <c r="C101" s="36" t="s">
        <v>27</v>
      </c>
      <c r="D101" s="37">
        <v>0.4375</v>
      </c>
      <c r="E101" s="37">
        <v>0.444444444444444</v>
      </c>
      <c r="F101" s="38" t="str">
        <f t="shared" si="1"/>
        <v>10</v>
      </c>
      <c r="G101" s="8"/>
      <c r="H101" s="14" t="str">
        <f t="shared" si="2"/>
        <v>15/05</v>
      </c>
      <c r="I101" s="15" t="str">
        <f t="shared" si="3"/>
        <v>Matin</v>
      </c>
    </row>
    <row r="102" ht="14.25" customHeight="1">
      <c r="A102" s="39">
        <v>46157.0</v>
      </c>
      <c r="B102" s="36" t="s">
        <v>54</v>
      </c>
      <c r="C102" s="36" t="s">
        <v>27</v>
      </c>
      <c r="D102" s="37">
        <v>0.485416666666667</v>
      </c>
      <c r="E102" s="37">
        <v>0.489583333333333</v>
      </c>
      <c r="F102" s="38" t="str">
        <f t="shared" si="1"/>
        <v>6</v>
      </c>
      <c r="G102" s="8"/>
      <c r="H102" s="14" t="str">
        <f t="shared" si="2"/>
        <v>15/05</v>
      </c>
      <c r="I102" s="15" t="str">
        <f t="shared" si="3"/>
        <v>Matin</v>
      </c>
    </row>
    <row r="103" ht="14.25" customHeight="1">
      <c r="A103" s="39">
        <v>46157.0</v>
      </c>
      <c r="B103" s="36" t="s">
        <v>54</v>
      </c>
      <c r="C103" s="36" t="s">
        <v>27</v>
      </c>
      <c r="D103" s="37">
        <v>0.560416666666667</v>
      </c>
      <c r="E103" s="37">
        <v>0.568055555555556</v>
      </c>
      <c r="F103" s="38" t="str">
        <f t="shared" si="1"/>
        <v>11</v>
      </c>
      <c r="G103" s="8"/>
      <c r="H103" s="14" t="str">
        <f t="shared" si="2"/>
        <v>15/05</v>
      </c>
      <c r="I103" s="15" t="str">
        <f t="shared" si="3"/>
        <v>Matin</v>
      </c>
    </row>
    <row r="104" ht="14.25" customHeight="1">
      <c r="A104" s="39">
        <v>46157.0</v>
      </c>
      <c r="B104" s="36" t="s">
        <v>66</v>
      </c>
      <c r="C104" s="36" t="s">
        <v>27</v>
      </c>
      <c r="D104" s="37">
        <v>0.590277777777778</v>
      </c>
      <c r="E104" s="37">
        <v>0.59375</v>
      </c>
      <c r="F104" s="38" t="str">
        <f t="shared" si="1"/>
        <v>5</v>
      </c>
      <c r="G104" s="8"/>
      <c r="H104" s="14" t="str">
        <f t="shared" si="2"/>
        <v>15/05</v>
      </c>
      <c r="I104" s="15" t="str">
        <f t="shared" si="3"/>
        <v>Après-midi</v>
      </c>
    </row>
    <row r="105" ht="14.25" customHeight="1">
      <c r="A105" s="39">
        <v>46157.0</v>
      </c>
      <c r="B105" s="36" t="s">
        <v>66</v>
      </c>
      <c r="C105" s="36" t="s">
        <v>27</v>
      </c>
      <c r="D105" s="37">
        <v>0.666666666666667</v>
      </c>
      <c r="E105" s="37">
        <v>0.673611111111111</v>
      </c>
      <c r="F105" s="38" t="str">
        <f t="shared" si="1"/>
        <v>10</v>
      </c>
      <c r="G105" s="8"/>
      <c r="H105" s="14" t="str">
        <f t="shared" si="2"/>
        <v>15/05</v>
      </c>
      <c r="I105" s="15" t="str">
        <f t="shared" si="3"/>
        <v>Après-midi</v>
      </c>
    </row>
    <row r="106" ht="14.25" customHeight="1">
      <c r="A106" s="39">
        <v>46157.0</v>
      </c>
      <c r="B106" s="36" t="s">
        <v>66</v>
      </c>
      <c r="C106" s="36" t="s">
        <v>27</v>
      </c>
      <c r="D106" s="37">
        <v>0.774305555555556</v>
      </c>
      <c r="E106" s="37">
        <v>0.78125</v>
      </c>
      <c r="F106" s="38" t="str">
        <f t="shared" si="1"/>
        <v>10</v>
      </c>
      <c r="G106" s="8"/>
      <c r="H106" s="14" t="str">
        <f t="shared" si="2"/>
        <v>15/05</v>
      </c>
      <c r="I106" s="15" t="str">
        <f t="shared" si="3"/>
        <v>Après-midi</v>
      </c>
    </row>
    <row r="107" ht="14.25" customHeight="1">
      <c r="A107" s="39">
        <v>46157.0</v>
      </c>
      <c r="B107" s="36" t="s">
        <v>66</v>
      </c>
      <c r="C107" s="36" t="s">
        <v>27</v>
      </c>
      <c r="D107" s="37">
        <v>0.822222222222222</v>
      </c>
      <c r="E107" s="37">
        <v>0.826388888888889</v>
      </c>
      <c r="F107" s="38" t="str">
        <f t="shared" si="1"/>
        <v>6</v>
      </c>
      <c r="G107" s="8"/>
      <c r="H107" s="14" t="str">
        <f t="shared" si="2"/>
        <v>15/05</v>
      </c>
      <c r="I107" s="15" t="str">
        <f t="shared" si="3"/>
        <v>Après-midi</v>
      </c>
    </row>
    <row r="108" ht="14.25" customHeight="1">
      <c r="A108" s="39">
        <v>46158.0</v>
      </c>
      <c r="B108" s="36" t="s">
        <v>67</v>
      </c>
      <c r="C108" s="36" t="s">
        <v>27</v>
      </c>
      <c r="D108" s="37">
        <v>0.0381944444444445</v>
      </c>
      <c r="E108" s="37">
        <v>0.0472222222222222</v>
      </c>
      <c r="F108" s="38" t="str">
        <f t="shared" si="1"/>
        <v>13</v>
      </c>
      <c r="G108" s="8"/>
      <c r="H108" s="14" t="str">
        <f t="shared" si="2"/>
        <v>15/05</v>
      </c>
      <c r="I108" s="15" t="str">
        <f t="shared" si="3"/>
        <v>Nuit</v>
      </c>
    </row>
    <row r="109" ht="14.25" customHeight="1">
      <c r="A109" s="39">
        <v>46158.0</v>
      </c>
      <c r="B109" s="36" t="s">
        <v>67</v>
      </c>
      <c r="C109" s="36" t="s">
        <v>27</v>
      </c>
      <c r="D109" s="37">
        <v>0.127083333333333</v>
      </c>
      <c r="E109" s="37">
        <v>0.136111111111111</v>
      </c>
      <c r="F109" s="38" t="str">
        <f t="shared" si="1"/>
        <v>13</v>
      </c>
      <c r="G109" s="8"/>
      <c r="H109" s="14" t="str">
        <f t="shared" si="2"/>
        <v>15/05</v>
      </c>
      <c r="I109" s="15" t="str">
        <f t="shared" si="3"/>
        <v>Nuit</v>
      </c>
    </row>
    <row r="110" ht="14.25" customHeight="1">
      <c r="A110" s="39">
        <v>46158.0</v>
      </c>
      <c r="B110" s="36" t="s">
        <v>67</v>
      </c>
      <c r="C110" s="36" t="s">
        <v>27</v>
      </c>
      <c r="D110" s="37">
        <v>0.163194444444444</v>
      </c>
      <c r="E110" s="37">
        <v>0.166666666666667</v>
      </c>
      <c r="F110" s="38" t="str">
        <f t="shared" si="1"/>
        <v>5</v>
      </c>
      <c r="G110" s="8"/>
      <c r="H110" s="14" t="str">
        <f t="shared" si="2"/>
        <v>15/05</v>
      </c>
      <c r="I110" s="15" t="str">
        <f t="shared" si="3"/>
        <v>Nuit</v>
      </c>
    </row>
    <row r="111" ht="14.25" customHeight="1">
      <c r="A111" s="39">
        <v>46158.0</v>
      </c>
      <c r="B111" s="36" t="s">
        <v>67</v>
      </c>
      <c r="C111" s="36" t="s">
        <v>27</v>
      </c>
      <c r="D111" s="37">
        <v>0.25</v>
      </c>
      <c r="E111" s="37">
        <v>0.253472222222222</v>
      </c>
      <c r="F111" s="38" t="str">
        <f t="shared" si="1"/>
        <v>5</v>
      </c>
      <c r="G111" s="8"/>
      <c r="H111" s="14" t="str">
        <f t="shared" si="2"/>
        <v>16/05</v>
      </c>
      <c r="I111" s="15" t="str">
        <f t="shared" si="3"/>
        <v>Matin</v>
      </c>
    </row>
    <row r="112" ht="14.25" customHeight="1">
      <c r="A112" s="39">
        <v>46158.0</v>
      </c>
      <c r="B112" s="36" t="s">
        <v>67</v>
      </c>
      <c r="C112" s="36" t="s">
        <v>27</v>
      </c>
      <c r="D112" s="37">
        <v>0.350694444444444</v>
      </c>
      <c r="E112" s="37">
        <v>0.359722222222222</v>
      </c>
      <c r="F112" s="38" t="str">
        <f t="shared" si="1"/>
        <v>13</v>
      </c>
      <c r="G112" s="8"/>
      <c r="H112" s="14" t="str">
        <f t="shared" si="2"/>
        <v>16/05</v>
      </c>
      <c r="I112" s="15" t="str">
        <f t="shared" si="3"/>
        <v>Matin</v>
      </c>
    </row>
    <row r="113" ht="14.25" customHeight="1">
      <c r="A113" s="39">
        <v>46158.0</v>
      </c>
      <c r="B113" s="36" t="s">
        <v>67</v>
      </c>
      <c r="C113" s="36" t="s">
        <v>27</v>
      </c>
      <c r="D113" s="37">
        <v>0.451388888888889</v>
      </c>
      <c r="E113" s="37">
        <v>0.474305555555556</v>
      </c>
      <c r="F113" s="38" t="str">
        <f t="shared" si="1"/>
        <v>33</v>
      </c>
      <c r="G113" s="8"/>
      <c r="H113" s="14" t="str">
        <f t="shared" si="2"/>
        <v>16/05</v>
      </c>
      <c r="I113" s="15" t="str">
        <f t="shared" si="3"/>
        <v>Matin</v>
      </c>
    </row>
    <row r="114" ht="14.25" customHeight="1">
      <c r="A114" s="39">
        <v>46158.0</v>
      </c>
      <c r="B114" s="36" t="s">
        <v>67</v>
      </c>
      <c r="C114" s="36" t="s">
        <v>27</v>
      </c>
      <c r="D114" s="37">
        <v>0.540277777777778</v>
      </c>
      <c r="E114" s="37">
        <v>0.549305555555556</v>
      </c>
      <c r="F114" s="38" t="str">
        <f t="shared" si="1"/>
        <v>13</v>
      </c>
      <c r="G114" s="8"/>
      <c r="H114" s="14" t="str">
        <f t="shared" si="2"/>
        <v>16/05</v>
      </c>
      <c r="I114" s="15" t="str">
        <f t="shared" si="3"/>
        <v>Matin</v>
      </c>
    </row>
    <row r="115" ht="14.25" customHeight="1">
      <c r="A115" s="39">
        <v>46158.0</v>
      </c>
      <c r="B115" s="36" t="s">
        <v>67</v>
      </c>
      <c r="C115" s="36" t="s">
        <v>27</v>
      </c>
      <c r="D115" s="37">
        <v>0.583333333333333</v>
      </c>
      <c r="E115" s="37">
        <v>0.586805555555556</v>
      </c>
      <c r="F115" s="38" t="str">
        <f t="shared" si="1"/>
        <v>5</v>
      </c>
      <c r="G115" s="8"/>
      <c r="H115" s="14" t="str">
        <f t="shared" si="2"/>
        <v>16/05</v>
      </c>
      <c r="I115" s="15" t="str">
        <f t="shared" si="3"/>
        <v>Après-midi</v>
      </c>
    </row>
    <row r="116" ht="14.25" customHeight="1">
      <c r="A116" s="39">
        <v>46158.0</v>
      </c>
      <c r="B116" s="36" t="s">
        <v>66</v>
      </c>
      <c r="C116" s="36" t="s">
        <v>27</v>
      </c>
      <c r="D116" s="37">
        <v>0.725694444444444</v>
      </c>
      <c r="E116" s="37">
        <v>0.733333333333333</v>
      </c>
      <c r="F116" s="38" t="str">
        <f t="shared" si="1"/>
        <v>11</v>
      </c>
      <c r="G116" s="8"/>
      <c r="H116" s="14" t="str">
        <f t="shared" si="2"/>
        <v>16/05</v>
      </c>
      <c r="I116" s="15" t="str">
        <f t="shared" si="3"/>
        <v>Après-midi</v>
      </c>
    </row>
    <row r="117" ht="14.25" customHeight="1">
      <c r="A117" s="39">
        <v>46158.0</v>
      </c>
      <c r="B117" s="36" t="s">
        <v>66</v>
      </c>
      <c r="C117" s="36" t="s">
        <v>27</v>
      </c>
      <c r="D117" s="37">
        <v>0.825694444444444</v>
      </c>
      <c r="E117" s="37">
        <v>0.829166666666667</v>
      </c>
      <c r="F117" s="38" t="str">
        <f t="shared" si="1"/>
        <v>5</v>
      </c>
      <c r="G117" s="8"/>
      <c r="H117" s="14" t="str">
        <f t="shared" si="2"/>
        <v>16/05</v>
      </c>
      <c r="I117" s="15" t="str">
        <f t="shared" si="3"/>
        <v>Après-midi</v>
      </c>
    </row>
    <row r="118" ht="14.25" customHeight="1">
      <c r="A118" s="39">
        <v>46158.0</v>
      </c>
      <c r="B118" s="36" t="s">
        <v>66</v>
      </c>
      <c r="C118" s="36" t="s">
        <v>27</v>
      </c>
      <c r="D118" s="37">
        <v>0.916666666666667</v>
      </c>
      <c r="E118" s="37">
        <v>0.920138888888889</v>
      </c>
      <c r="F118" s="38" t="str">
        <f t="shared" si="1"/>
        <v>5</v>
      </c>
      <c r="G118" s="8"/>
      <c r="H118" s="14" t="str">
        <f t="shared" si="2"/>
        <v>16/05</v>
      </c>
      <c r="I118" s="15" t="str">
        <f t="shared" si="3"/>
        <v>Nuit</v>
      </c>
    </row>
    <row r="119" ht="14.25" customHeight="1">
      <c r="A119" s="39">
        <v>46159.0</v>
      </c>
      <c r="B119" s="36" t="s">
        <v>54</v>
      </c>
      <c r="C119" s="36" t="s">
        <v>27</v>
      </c>
      <c r="D119" s="37">
        <v>0.0138888888888889</v>
      </c>
      <c r="E119" s="37">
        <v>0.0201388888888889</v>
      </c>
      <c r="F119" s="38" t="str">
        <f t="shared" si="1"/>
        <v>9</v>
      </c>
      <c r="G119" s="8"/>
      <c r="H119" s="14" t="str">
        <f t="shared" si="2"/>
        <v>16/05</v>
      </c>
      <c r="I119" s="15" t="str">
        <f t="shared" si="3"/>
        <v>Nuit</v>
      </c>
    </row>
    <row r="120" ht="14.25" customHeight="1">
      <c r="A120" s="39">
        <v>46159.0</v>
      </c>
      <c r="B120" s="36" t="s">
        <v>54</v>
      </c>
      <c r="C120" s="36" t="s">
        <v>27</v>
      </c>
      <c r="D120" s="37">
        <v>0.0416666666666667</v>
      </c>
      <c r="E120" s="37">
        <v>0.0479166666666667</v>
      </c>
      <c r="F120" s="38" t="str">
        <f t="shared" si="1"/>
        <v>9</v>
      </c>
      <c r="G120" s="8"/>
      <c r="H120" s="14" t="str">
        <f t="shared" si="2"/>
        <v>16/05</v>
      </c>
      <c r="I120" s="15" t="str">
        <f t="shared" si="3"/>
        <v>Nuit</v>
      </c>
    </row>
    <row r="121" ht="14.25" customHeight="1">
      <c r="A121" s="39">
        <v>46159.0</v>
      </c>
      <c r="B121" s="36" t="s">
        <v>54</v>
      </c>
      <c r="C121" s="36" t="s">
        <v>27</v>
      </c>
      <c r="D121" s="37">
        <v>0.0701388888888889</v>
      </c>
      <c r="E121" s="37">
        <v>0.0770833333333333</v>
      </c>
      <c r="F121" s="38" t="str">
        <f t="shared" si="1"/>
        <v>10</v>
      </c>
      <c r="G121" s="8"/>
      <c r="H121" s="14" t="str">
        <f t="shared" si="2"/>
        <v>16/05</v>
      </c>
      <c r="I121" s="15" t="str">
        <f t="shared" si="3"/>
        <v>Nuit</v>
      </c>
    </row>
    <row r="122" ht="14.25" customHeight="1">
      <c r="A122" s="39">
        <v>46159.0</v>
      </c>
      <c r="B122" s="36" t="s">
        <v>54</v>
      </c>
      <c r="C122" s="36" t="s">
        <v>27</v>
      </c>
      <c r="D122" s="37">
        <v>0.15625</v>
      </c>
      <c r="E122" s="37">
        <v>0.165277777777778</v>
      </c>
      <c r="F122" s="38" t="str">
        <f t="shared" si="1"/>
        <v>13</v>
      </c>
      <c r="G122" s="8"/>
      <c r="H122" s="14" t="str">
        <f t="shared" si="2"/>
        <v>16/05</v>
      </c>
      <c r="I122" s="15" t="str">
        <f t="shared" si="3"/>
        <v>Nuit</v>
      </c>
    </row>
    <row r="123" ht="14.25" customHeight="1">
      <c r="A123" s="39">
        <v>46160.0</v>
      </c>
      <c r="B123" s="36" t="s">
        <v>66</v>
      </c>
      <c r="C123" s="36" t="s">
        <v>27</v>
      </c>
      <c r="D123" s="37">
        <v>0.286111111111111</v>
      </c>
      <c r="E123" s="37">
        <v>0.295138888888889</v>
      </c>
      <c r="F123" s="38" t="str">
        <f t="shared" si="1"/>
        <v>13</v>
      </c>
      <c r="G123" s="8"/>
      <c r="H123" s="14" t="str">
        <f t="shared" si="2"/>
        <v>18/05</v>
      </c>
      <c r="I123" s="15" t="str">
        <f t="shared" si="3"/>
        <v>Matin</v>
      </c>
    </row>
    <row r="124" ht="14.25" customHeight="1">
      <c r="A124" s="39">
        <v>46160.0</v>
      </c>
      <c r="B124" s="36" t="s">
        <v>66</v>
      </c>
      <c r="C124" s="36" t="s">
        <v>27</v>
      </c>
      <c r="D124" s="37">
        <v>0.409722222222222</v>
      </c>
      <c r="E124" s="37">
        <v>0.413194444444444</v>
      </c>
      <c r="F124" s="38" t="str">
        <f t="shared" si="1"/>
        <v>5</v>
      </c>
      <c r="G124" s="8"/>
      <c r="H124" s="14" t="str">
        <f t="shared" si="2"/>
        <v>18/05</v>
      </c>
      <c r="I124" s="15" t="str">
        <f t="shared" si="3"/>
        <v>Matin</v>
      </c>
    </row>
    <row r="125" ht="14.25" customHeight="1">
      <c r="A125" s="39">
        <v>46160.0</v>
      </c>
      <c r="B125" s="36" t="s">
        <v>66</v>
      </c>
      <c r="C125" s="36" t="s">
        <v>27</v>
      </c>
      <c r="D125" s="37">
        <v>0.458333333333333</v>
      </c>
      <c r="E125" s="37">
        <v>0.475694444444444</v>
      </c>
      <c r="F125" s="38" t="str">
        <f t="shared" si="1"/>
        <v>25</v>
      </c>
      <c r="G125" s="8"/>
      <c r="H125" s="14" t="str">
        <f t="shared" si="2"/>
        <v>18/05</v>
      </c>
      <c r="I125" s="15" t="str">
        <f t="shared" si="3"/>
        <v>Matin</v>
      </c>
    </row>
    <row r="126" ht="14.25" customHeight="1">
      <c r="A126" s="39">
        <v>46160.0</v>
      </c>
      <c r="B126" s="36" t="s">
        <v>66</v>
      </c>
      <c r="C126" s="36" t="s">
        <v>27</v>
      </c>
      <c r="D126" s="37">
        <v>0.496527777777778</v>
      </c>
      <c r="E126" s="37">
        <v>0.506944444444444</v>
      </c>
      <c r="F126" s="38" t="str">
        <f t="shared" si="1"/>
        <v>15</v>
      </c>
      <c r="G126" s="8"/>
      <c r="H126" s="14" t="str">
        <f t="shared" si="2"/>
        <v>18/05</v>
      </c>
      <c r="I126" s="15" t="str">
        <f t="shared" si="3"/>
        <v>Matin</v>
      </c>
    </row>
    <row r="127" ht="14.25" customHeight="1">
      <c r="A127" s="39">
        <v>46160.0</v>
      </c>
      <c r="B127" s="36" t="s">
        <v>66</v>
      </c>
      <c r="C127" s="36" t="s">
        <v>27</v>
      </c>
      <c r="D127" s="37">
        <v>0.583333333333333</v>
      </c>
      <c r="E127" s="37">
        <v>0.585416666666667</v>
      </c>
      <c r="F127" s="38" t="str">
        <f t="shared" si="1"/>
        <v>3</v>
      </c>
      <c r="G127" s="8"/>
      <c r="H127" s="14" t="str">
        <f t="shared" si="2"/>
        <v>18/05</v>
      </c>
      <c r="I127" s="15" t="str">
        <f t="shared" si="3"/>
        <v>Après-midi</v>
      </c>
    </row>
    <row r="128" ht="14.25" customHeight="1">
      <c r="A128" s="39">
        <v>46160.0</v>
      </c>
      <c r="B128" s="36" t="s">
        <v>54</v>
      </c>
      <c r="C128" s="36" t="s">
        <v>27</v>
      </c>
      <c r="D128" s="37">
        <v>0.604166666666667</v>
      </c>
      <c r="E128" s="37">
        <v>0.611111111111111</v>
      </c>
      <c r="F128" s="38" t="str">
        <f t="shared" si="1"/>
        <v>10</v>
      </c>
      <c r="G128" s="8"/>
      <c r="H128" s="14" t="str">
        <f t="shared" si="2"/>
        <v>18/05</v>
      </c>
      <c r="I128" s="15" t="str">
        <f t="shared" si="3"/>
        <v>Après-midi</v>
      </c>
    </row>
    <row r="129" ht="14.25" customHeight="1">
      <c r="A129" s="39">
        <v>46160.0</v>
      </c>
      <c r="B129" s="36" t="s">
        <v>54</v>
      </c>
      <c r="C129" s="36" t="s">
        <v>27</v>
      </c>
      <c r="D129" s="37">
        <v>0.729166666666667</v>
      </c>
      <c r="E129" s="37">
        <v>0.746527777777778</v>
      </c>
      <c r="F129" s="38" t="str">
        <f t="shared" si="1"/>
        <v>25</v>
      </c>
      <c r="G129" s="8"/>
      <c r="H129" s="14" t="str">
        <f t="shared" si="2"/>
        <v>18/05</v>
      </c>
      <c r="I129" s="15" t="str">
        <f t="shared" si="3"/>
        <v>Après-midi</v>
      </c>
    </row>
    <row r="130" ht="14.25" customHeight="1">
      <c r="A130" s="39">
        <v>46160.0</v>
      </c>
      <c r="B130" s="36" t="s">
        <v>54</v>
      </c>
      <c r="C130" s="36" t="s">
        <v>27</v>
      </c>
      <c r="D130" s="37">
        <v>0.875694444444444</v>
      </c>
      <c r="E130" s="37">
        <v>0.885416666666667</v>
      </c>
      <c r="F130" s="38" t="str">
        <f t="shared" si="1"/>
        <v>14</v>
      </c>
      <c r="G130" s="8"/>
      <c r="H130" s="14" t="str">
        <f t="shared" si="2"/>
        <v>18/05</v>
      </c>
      <c r="I130" s="15" t="str">
        <f t="shared" si="3"/>
        <v>Après-midi</v>
      </c>
    </row>
    <row r="131" ht="14.25" customHeight="1">
      <c r="A131" s="39">
        <v>46160.0</v>
      </c>
      <c r="B131" s="36" t="s">
        <v>54</v>
      </c>
      <c r="C131" s="36" t="s">
        <v>27</v>
      </c>
      <c r="D131" s="37">
        <v>0.916666666666667</v>
      </c>
      <c r="E131" s="37">
        <v>0.923611111111111</v>
      </c>
      <c r="F131" s="38" t="str">
        <f t="shared" si="1"/>
        <v>10</v>
      </c>
      <c r="G131" s="8"/>
      <c r="H131" s="14" t="str">
        <f t="shared" si="2"/>
        <v>18/05</v>
      </c>
      <c r="I131" s="15" t="str">
        <f t="shared" si="3"/>
        <v>Nuit</v>
      </c>
    </row>
    <row r="132" ht="14.25" customHeight="1">
      <c r="A132" s="39">
        <v>46160.0</v>
      </c>
      <c r="B132" s="36" t="s">
        <v>67</v>
      </c>
      <c r="C132" s="36" t="s">
        <v>27</v>
      </c>
      <c r="D132" s="37">
        <v>0.946527777777778</v>
      </c>
      <c r="E132" s="37">
        <v>0.953472222222222</v>
      </c>
      <c r="F132" s="38" t="str">
        <f t="shared" si="1"/>
        <v>10</v>
      </c>
      <c r="G132" s="8"/>
      <c r="H132" s="14" t="str">
        <f t="shared" si="2"/>
        <v>18/05</v>
      </c>
      <c r="I132" s="15" t="str">
        <f t="shared" si="3"/>
        <v>Nuit</v>
      </c>
    </row>
    <row r="133" ht="14.25" customHeight="1">
      <c r="A133" s="39">
        <v>46160.0</v>
      </c>
      <c r="B133" s="36" t="s">
        <v>67</v>
      </c>
      <c r="C133" s="36" t="s">
        <v>27</v>
      </c>
      <c r="D133" s="37">
        <v>0.977777777777778</v>
      </c>
      <c r="E133" s="37">
        <v>0.98125</v>
      </c>
      <c r="F133" s="38" t="str">
        <f t="shared" si="1"/>
        <v>5</v>
      </c>
      <c r="G133" s="8"/>
      <c r="H133" s="14" t="str">
        <f t="shared" si="2"/>
        <v>18/05</v>
      </c>
      <c r="I133" s="15" t="str">
        <f t="shared" si="3"/>
        <v>Nuit</v>
      </c>
    </row>
    <row r="134" ht="14.25" customHeight="1">
      <c r="A134" s="39">
        <v>46161.0</v>
      </c>
      <c r="B134" s="36" t="s">
        <v>67</v>
      </c>
      <c r="C134" s="36" t="s">
        <v>27</v>
      </c>
      <c r="D134" s="37">
        <v>0.145833333333333</v>
      </c>
      <c r="E134" s="37">
        <v>0.152777777777778</v>
      </c>
      <c r="F134" s="38" t="str">
        <f t="shared" si="1"/>
        <v>10</v>
      </c>
      <c r="G134" s="8"/>
      <c r="H134" s="14" t="str">
        <f t="shared" si="2"/>
        <v>18/05</v>
      </c>
      <c r="I134" s="15" t="str">
        <f t="shared" si="3"/>
        <v>Nuit</v>
      </c>
    </row>
    <row r="135" ht="14.25" customHeight="1">
      <c r="A135" s="39">
        <v>46161.0</v>
      </c>
      <c r="B135" s="36" t="s">
        <v>67</v>
      </c>
      <c r="C135" s="36" t="s">
        <v>27</v>
      </c>
      <c r="D135" s="37">
        <v>0.25</v>
      </c>
      <c r="E135" s="37">
        <v>0.253472222222222</v>
      </c>
      <c r="F135" s="38" t="str">
        <f t="shared" si="1"/>
        <v>5</v>
      </c>
      <c r="G135" s="8"/>
      <c r="H135" s="14" t="str">
        <f t="shared" si="2"/>
        <v>19/05</v>
      </c>
      <c r="I135" s="15" t="str">
        <f t="shared" si="3"/>
        <v>Matin</v>
      </c>
    </row>
    <row r="136" ht="14.25" customHeight="1">
      <c r="A136" s="39">
        <v>46161.0</v>
      </c>
      <c r="B136" s="36" t="s">
        <v>66</v>
      </c>
      <c r="C136" s="36" t="s">
        <v>27</v>
      </c>
      <c r="D136" s="37">
        <v>0.291666666666667</v>
      </c>
      <c r="E136" s="37">
        <v>0.298611111111111</v>
      </c>
      <c r="F136" s="38" t="str">
        <f t="shared" si="1"/>
        <v>10</v>
      </c>
      <c r="G136" s="8"/>
      <c r="H136" s="14" t="str">
        <f t="shared" si="2"/>
        <v>19/05</v>
      </c>
      <c r="I136" s="15" t="str">
        <f t="shared" si="3"/>
        <v>Matin</v>
      </c>
    </row>
    <row r="137" ht="14.25" customHeight="1">
      <c r="A137" s="39">
        <v>46161.0</v>
      </c>
      <c r="B137" s="36" t="s">
        <v>66</v>
      </c>
      <c r="C137" s="36" t="s">
        <v>27</v>
      </c>
      <c r="D137" s="37">
        <v>0.354166666666667</v>
      </c>
      <c r="E137" s="37">
        <v>0.374305555555556</v>
      </c>
      <c r="F137" s="38" t="str">
        <f t="shared" si="1"/>
        <v>29</v>
      </c>
      <c r="G137" s="8"/>
      <c r="H137" s="14" t="str">
        <f t="shared" si="2"/>
        <v>19/05</v>
      </c>
      <c r="I137" s="15" t="str">
        <f t="shared" si="3"/>
        <v>Matin</v>
      </c>
    </row>
    <row r="138" ht="14.25" customHeight="1">
      <c r="A138" s="39">
        <v>46161.0</v>
      </c>
      <c r="B138" s="36" t="s">
        <v>66</v>
      </c>
      <c r="C138" s="36" t="s">
        <v>27</v>
      </c>
      <c r="D138" s="37">
        <v>0.479861111111111</v>
      </c>
      <c r="E138" s="37">
        <v>0.484722222222222</v>
      </c>
      <c r="F138" s="38" t="str">
        <f t="shared" si="1"/>
        <v>7</v>
      </c>
      <c r="G138" s="8"/>
      <c r="H138" s="14" t="str">
        <f t="shared" si="2"/>
        <v>19/05</v>
      </c>
      <c r="I138" s="15" t="str">
        <f t="shared" si="3"/>
        <v>Matin</v>
      </c>
    </row>
    <row r="139" ht="14.25" customHeight="1">
      <c r="A139" s="39">
        <v>46161.0</v>
      </c>
      <c r="B139" s="36" t="s">
        <v>66</v>
      </c>
      <c r="C139" s="36" t="s">
        <v>27</v>
      </c>
      <c r="D139" s="37">
        <v>0.572916666666667</v>
      </c>
      <c r="E139" s="37">
        <v>0.583333333333333</v>
      </c>
      <c r="F139" s="38" t="str">
        <f t="shared" si="1"/>
        <v>15</v>
      </c>
      <c r="G139" s="8"/>
      <c r="H139" s="14" t="str">
        <f t="shared" si="2"/>
        <v>19/05</v>
      </c>
      <c r="I139" s="15" t="str">
        <f t="shared" si="3"/>
        <v>Matin</v>
      </c>
    </row>
    <row r="140" ht="14.25" customHeight="1">
      <c r="A140" s="39">
        <v>46161.0</v>
      </c>
      <c r="B140" s="36" t="s">
        <v>54</v>
      </c>
      <c r="C140" s="36" t="s">
        <v>27</v>
      </c>
      <c r="D140" s="37">
        <v>0.6875</v>
      </c>
      <c r="E140" s="37">
        <v>0.708333333333333</v>
      </c>
      <c r="F140" s="38" t="str">
        <f t="shared" si="1"/>
        <v>30</v>
      </c>
      <c r="G140" s="8"/>
      <c r="H140" s="14" t="str">
        <f t="shared" si="2"/>
        <v>19/05</v>
      </c>
      <c r="I140" s="15" t="str">
        <f t="shared" si="3"/>
        <v>Après-midi</v>
      </c>
    </row>
    <row r="141" ht="14.25" customHeight="1">
      <c r="A141" s="39">
        <v>46161.0</v>
      </c>
      <c r="B141" s="36" t="s">
        <v>54</v>
      </c>
      <c r="C141" s="36" t="s">
        <v>27</v>
      </c>
      <c r="D141" s="37">
        <v>0.722916666666667</v>
      </c>
      <c r="E141" s="37">
        <v>0.73125</v>
      </c>
      <c r="F141" s="38" t="str">
        <f t="shared" si="1"/>
        <v>12</v>
      </c>
      <c r="G141" s="8"/>
      <c r="H141" s="14" t="str">
        <f t="shared" si="2"/>
        <v>19/05</v>
      </c>
      <c r="I141" s="15" t="str">
        <f t="shared" si="3"/>
        <v>Après-midi</v>
      </c>
    </row>
    <row r="142" ht="14.25" customHeight="1">
      <c r="A142" s="39">
        <v>46161.0</v>
      </c>
      <c r="B142" s="36" t="s">
        <v>54</v>
      </c>
      <c r="C142" s="36" t="s">
        <v>27</v>
      </c>
      <c r="D142" s="37">
        <v>0.916666666666667</v>
      </c>
      <c r="E142" s="37">
        <v>0.921527777777778</v>
      </c>
      <c r="F142" s="38" t="str">
        <f t="shared" si="1"/>
        <v>7</v>
      </c>
      <c r="G142" s="8"/>
      <c r="H142" s="14" t="str">
        <f t="shared" si="2"/>
        <v>19/05</v>
      </c>
      <c r="I142" s="15" t="str">
        <f t="shared" si="3"/>
        <v>Nuit</v>
      </c>
    </row>
    <row r="143" ht="14.25" customHeight="1">
      <c r="A143" s="39">
        <v>46162.0</v>
      </c>
      <c r="B143" s="36" t="s">
        <v>67</v>
      </c>
      <c r="C143" s="36" t="s">
        <v>27</v>
      </c>
      <c r="D143" s="37">
        <v>0.1625</v>
      </c>
      <c r="E143" s="37">
        <v>0.173611111111111</v>
      </c>
      <c r="F143" s="38" t="str">
        <f t="shared" si="1"/>
        <v>16</v>
      </c>
      <c r="G143" s="8"/>
      <c r="H143" s="14" t="str">
        <f t="shared" si="2"/>
        <v>19/05</v>
      </c>
      <c r="I143" s="15" t="str">
        <f t="shared" si="3"/>
        <v>Nuit</v>
      </c>
    </row>
    <row r="144" ht="14.25" customHeight="1">
      <c r="A144" s="39">
        <v>46162.0</v>
      </c>
      <c r="B144" s="36" t="s">
        <v>67</v>
      </c>
      <c r="C144" s="36" t="s">
        <v>27</v>
      </c>
      <c r="D144" s="37">
        <v>0.25</v>
      </c>
      <c r="E144" s="37">
        <v>0.254861111111111</v>
      </c>
      <c r="F144" s="38" t="str">
        <f t="shared" si="1"/>
        <v>7</v>
      </c>
      <c r="G144" s="8"/>
      <c r="H144" s="14" t="str">
        <f t="shared" si="2"/>
        <v>20/05</v>
      </c>
      <c r="I144" s="15" t="str">
        <f t="shared" si="3"/>
        <v>Matin</v>
      </c>
    </row>
    <row r="145" ht="14.25" customHeight="1">
      <c r="A145" s="39">
        <v>46162.0</v>
      </c>
      <c r="B145" s="36" t="s">
        <v>66</v>
      </c>
      <c r="C145" s="36" t="s">
        <v>27</v>
      </c>
      <c r="D145" s="37">
        <v>0.364583333333333</v>
      </c>
      <c r="E145" s="37">
        <v>0.371527777777778</v>
      </c>
      <c r="F145" s="38" t="str">
        <f t="shared" si="1"/>
        <v>10</v>
      </c>
      <c r="G145" s="8"/>
      <c r="H145" s="14" t="str">
        <f t="shared" si="2"/>
        <v>20/05</v>
      </c>
      <c r="I145" s="15" t="str">
        <f t="shared" si="3"/>
        <v>Matin</v>
      </c>
    </row>
    <row r="146" ht="14.25" customHeight="1">
      <c r="A146" s="39">
        <v>46162.0</v>
      </c>
      <c r="B146" s="36" t="s">
        <v>66</v>
      </c>
      <c r="C146" s="36" t="s">
        <v>27</v>
      </c>
      <c r="D146" s="37">
        <v>0.474305555555556</v>
      </c>
      <c r="E146" s="37">
        <v>0.479166666666667</v>
      </c>
      <c r="F146" s="38" t="str">
        <f t="shared" si="1"/>
        <v>7</v>
      </c>
      <c r="G146" s="8"/>
      <c r="H146" s="14" t="str">
        <f t="shared" si="2"/>
        <v>20/05</v>
      </c>
      <c r="I146" s="15" t="str">
        <f t="shared" si="3"/>
        <v>Matin</v>
      </c>
    </row>
    <row r="147" ht="14.25" customHeight="1">
      <c r="A147" s="39">
        <v>46162.0</v>
      </c>
      <c r="B147" s="36" t="s">
        <v>66</v>
      </c>
      <c r="C147" s="36" t="s">
        <v>27</v>
      </c>
      <c r="D147" s="37">
        <v>0.576388888888889</v>
      </c>
      <c r="E147" s="37">
        <v>0.583333333333333</v>
      </c>
      <c r="F147" s="38" t="str">
        <f t="shared" si="1"/>
        <v>10</v>
      </c>
      <c r="G147" s="8"/>
      <c r="H147" s="14" t="str">
        <f t="shared" si="2"/>
        <v>20/05</v>
      </c>
      <c r="I147" s="15" t="str">
        <f t="shared" si="3"/>
        <v>Matin</v>
      </c>
    </row>
    <row r="148" ht="14.25" customHeight="1">
      <c r="A148" s="39">
        <v>46162.0</v>
      </c>
      <c r="B148" s="36" t="s">
        <v>54</v>
      </c>
      <c r="C148" s="36" t="s">
        <v>27</v>
      </c>
      <c r="D148" s="37">
        <v>0.6875</v>
      </c>
      <c r="E148" s="37">
        <v>0.697916666666667</v>
      </c>
      <c r="F148" s="38" t="str">
        <f t="shared" si="1"/>
        <v>15</v>
      </c>
      <c r="G148" s="8"/>
      <c r="H148" s="14" t="str">
        <f t="shared" si="2"/>
        <v>20/05</v>
      </c>
      <c r="I148" s="15" t="str">
        <f t="shared" si="3"/>
        <v>Après-midi</v>
      </c>
    </row>
    <row r="149" ht="14.25" customHeight="1">
      <c r="A149" s="39">
        <v>46162.0</v>
      </c>
      <c r="B149" s="36" t="s">
        <v>54</v>
      </c>
      <c r="C149" s="36" t="s">
        <v>27</v>
      </c>
      <c r="D149" s="37">
        <v>0.850694444444444</v>
      </c>
      <c r="E149" s="37">
        <v>0.861111111111111</v>
      </c>
      <c r="F149" s="38" t="str">
        <f t="shared" si="1"/>
        <v>15</v>
      </c>
      <c r="G149" s="8"/>
      <c r="H149" s="14" t="str">
        <f t="shared" si="2"/>
        <v>20/05</v>
      </c>
      <c r="I149" s="15" t="str">
        <f t="shared" si="3"/>
        <v>Après-midi</v>
      </c>
    </row>
    <row r="150" ht="14.25" customHeight="1">
      <c r="A150" s="39">
        <v>46162.0</v>
      </c>
      <c r="B150" s="36" t="s">
        <v>54</v>
      </c>
      <c r="C150" s="36" t="s">
        <v>27</v>
      </c>
      <c r="D150" s="37">
        <v>0.875694444444444</v>
      </c>
      <c r="E150" s="37">
        <v>0.882638888888889</v>
      </c>
      <c r="F150" s="38" t="str">
        <f t="shared" si="1"/>
        <v>10</v>
      </c>
      <c r="G150" s="8"/>
      <c r="H150" s="14" t="str">
        <f t="shared" si="2"/>
        <v>20/05</v>
      </c>
      <c r="I150" s="15" t="str">
        <f t="shared" si="3"/>
        <v>Après-midi</v>
      </c>
    </row>
    <row r="151" ht="14.25" customHeight="1">
      <c r="A151" s="39">
        <v>46162.0</v>
      </c>
      <c r="B151" s="36" t="s">
        <v>54</v>
      </c>
      <c r="C151" s="36" t="s">
        <v>27</v>
      </c>
      <c r="D151" s="37">
        <v>0.916666666666667</v>
      </c>
      <c r="E151" s="37">
        <v>0.920833333333333</v>
      </c>
      <c r="F151" s="38" t="str">
        <f t="shared" si="1"/>
        <v>6</v>
      </c>
      <c r="G151" s="8"/>
      <c r="H151" s="14" t="str">
        <f t="shared" si="2"/>
        <v>20/05</v>
      </c>
      <c r="I151" s="15" t="str">
        <f t="shared" si="3"/>
        <v>Nuit</v>
      </c>
    </row>
    <row r="152" ht="14.25" customHeight="1">
      <c r="A152" s="39">
        <v>46162.0</v>
      </c>
      <c r="B152" s="36" t="s">
        <v>67</v>
      </c>
      <c r="C152" s="36" t="s">
        <v>27</v>
      </c>
      <c r="D152" s="37">
        <v>0.990972222222222</v>
      </c>
      <c r="E152" s="37">
        <v>0.996527777777778</v>
      </c>
      <c r="F152" s="38" t="str">
        <f t="shared" si="1"/>
        <v>8</v>
      </c>
      <c r="G152" s="8"/>
      <c r="H152" s="14" t="str">
        <f t="shared" si="2"/>
        <v>20/05</v>
      </c>
      <c r="I152" s="15" t="str">
        <f t="shared" si="3"/>
        <v>Nuit</v>
      </c>
    </row>
    <row r="153" ht="14.25" customHeight="1">
      <c r="A153" s="39">
        <v>46163.0</v>
      </c>
      <c r="B153" s="36" t="s">
        <v>67</v>
      </c>
      <c r="C153" s="36" t="s">
        <v>27</v>
      </c>
      <c r="D153" s="37">
        <v>0.134027777777778</v>
      </c>
      <c r="E153" s="37">
        <v>0.1375</v>
      </c>
      <c r="F153" s="38" t="str">
        <f t="shared" si="1"/>
        <v>5</v>
      </c>
      <c r="G153" s="8"/>
      <c r="H153" s="14" t="str">
        <f t="shared" si="2"/>
        <v>20/05</v>
      </c>
      <c r="I153" s="15" t="str">
        <f t="shared" si="3"/>
        <v>Nuit</v>
      </c>
    </row>
    <row r="154" ht="14.25" customHeight="1">
      <c r="A154" s="39">
        <v>46163.0</v>
      </c>
      <c r="B154" s="36" t="s">
        <v>67</v>
      </c>
      <c r="C154" s="36" t="s">
        <v>27</v>
      </c>
      <c r="D154" s="37">
        <v>0.164583333333333</v>
      </c>
      <c r="E154" s="37">
        <v>0.171527777777778</v>
      </c>
      <c r="F154" s="38" t="str">
        <f t="shared" si="1"/>
        <v>10</v>
      </c>
      <c r="G154" s="8"/>
      <c r="H154" s="14" t="str">
        <f t="shared" si="2"/>
        <v>20/05</v>
      </c>
      <c r="I154" s="15" t="str">
        <f t="shared" si="3"/>
        <v>Nuit</v>
      </c>
    </row>
    <row r="155" ht="14.25" customHeight="1">
      <c r="A155" s="39">
        <v>46164.0</v>
      </c>
      <c r="B155" s="36" t="s">
        <v>66</v>
      </c>
      <c r="C155" s="36" t="s">
        <v>27</v>
      </c>
      <c r="D155" s="37">
        <v>0.291666666666667</v>
      </c>
      <c r="E155" s="37">
        <v>0.305555555555556</v>
      </c>
      <c r="F155" s="38" t="str">
        <f t="shared" si="1"/>
        <v>20</v>
      </c>
      <c r="G155" s="8"/>
      <c r="H155" s="14" t="str">
        <f t="shared" si="2"/>
        <v>22/05</v>
      </c>
      <c r="I155" s="15" t="str">
        <f t="shared" si="3"/>
        <v>Matin</v>
      </c>
    </row>
    <row r="156" ht="14.25" customHeight="1">
      <c r="A156" s="39">
        <v>46164.0</v>
      </c>
      <c r="B156" s="36" t="s">
        <v>66</v>
      </c>
      <c r="C156" s="36" t="s">
        <v>27</v>
      </c>
      <c r="D156" s="37">
        <v>0.3625</v>
      </c>
      <c r="E156" s="37">
        <v>0.372222222222222</v>
      </c>
      <c r="F156" s="38" t="str">
        <f t="shared" si="1"/>
        <v>14</v>
      </c>
      <c r="G156" s="8"/>
      <c r="H156" s="14" t="str">
        <f t="shared" si="2"/>
        <v>22/05</v>
      </c>
      <c r="I156" s="15" t="str">
        <f t="shared" si="3"/>
        <v>Matin</v>
      </c>
    </row>
    <row r="157" ht="14.25" customHeight="1">
      <c r="A157" s="39">
        <v>46164.0</v>
      </c>
      <c r="B157" s="36" t="s">
        <v>66</v>
      </c>
      <c r="C157" s="36" t="s">
        <v>27</v>
      </c>
      <c r="D157" s="37">
        <v>0.502083333333333</v>
      </c>
      <c r="E157" s="37">
        <v>0.508333333333333</v>
      </c>
      <c r="F157" s="38" t="str">
        <f t="shared" si="1"/>
        <v>9</v>
      </c>
      <c r="G157" s="8"/>
      <c r="H157" s="14" t="str">
        <f t="shared" si="2"/>
        <v>22/05</v>
      </c>
      <c r="I157" s="15" t="str">
        <f t="shared" si="3"/>
        <v>Matin</v>
      </c>
    </row>
    <row r="158" ht="14.25" customHeight="1">
      <c r="A158" s="39">
        <v>46164.0</v>
      </c>
      <c r="B158" s="36" t="s">
        <v>54</v>
      </c>
      <c r="C158" s="36" t="s">
        <v>27</v>
      </c>
      <c r="D158" s="37">
        <v>0.647916666666667</v>
      </c>
      <c r="E158" s="37">
        <v>0.654166666666667</v>
      </c>
      <c r="F158" s="38" t="str">
        <f t="shared" si="1"/>
        <v>9</v>
      </c>
      <c r="G158" s="8"/>
      <c r="H158" s="14" t="str">
        <f t="shared" si="2"/>
        <v>22/05</v>
      </c>
      <c r="I158" s="15" t="str">
        <f t="shared" si="3"/>
        <v>Après-midi</v>
      </c>
    </row>
    <row r="159" ht="14.25" customHeight="1">
      <c r="A159" s="39">
        <v>46164.0</v>
      </c>
      <c r="B159" s="36" t="s">
        <v>54</v>
      </c>
      <c r="C159" s="36" t="s">
        <v>27</v>
      </c>
      <c r="D159" s="37">
        <v>0.690972222222222</v>
      </c>
      <c r="E159" s="37">
        <v>0.696527777777778</v>
      </c>
      <c r="F159" s="38" t="str">
        <f t="shared" si="1"/>
        <v>8</v>
      </c>
      <c r="G159" s="8"/>
      <c r="H159" s="14" t="str">
        <f t="shared" si="2"/>
        <v>22/05</v>
      </c>
      <c r="I159" s="15" t="str">
        <f t="shared" si="3"/>
        <v>Après-midi</v>
      </c>
    </row>
    <row r="160" ht="14.25" customHeight="1">
      <c r="A160" s="39">
        <v>46164.0</v>
      </c>
      <c r="B160" s="36" t="s">
        <v>54</v>
      </c>
      <c r="C160" s="36" t="s">
        <v>27</v>
      </c>
      <c r="D160" s="37">
        <v>0.791666666666667</v>
      </c>
      <c r="E160" s="37">
        <v>0.8125</v>
      </c>
      <c r="F160" s="38" t="str">
        <f t="shared" si="1"/>
        <v>30</v>
      </c>
      <c r="G160" s="8"/>
      <c r="H160" s="14" t="str">
        <f t="shared" si="2"/>
        <v>22/05</v>
      </c>
      <c r="I160" s="15" t="str">
        <f t="shared" si="3"/>
        <v>Après-midi</v>
      </c>
    </row>
    <row r="161" ht="14.25" customHeight="1">
      <c r="A161" s="39">
        <v>46164.0</v>
      </c>
      <c r="B161" s="36" t="s">
        <v>54</v>
      </c>
      <c r="C161" s="36" t="s">
        <v>27</v>
      </c>
      <c r="D161" s="37">
        <v>0.916666666666667</v>
      </c>
      <c r="E161" s="37">
        <v>0.927083333333333</v>
      </c>
      <c r="F161" s="38" t="str">
        <f t="shared" si="1"/>
        <v>15</v>
      </c>
      <c r="G161" s="8"/>
      <c r="H161" s="14" t="str">
        <f t="shared" si="2"/>
        <v>22/05</v>
      </c>
      <c r="I161" s="15" t="str">
        <f t="shared" si="3"/>
        <v>Nuit</v>
      </c>
    </row>
    <row r="162" ht="14.25" customHeight="1">
      <c r="A162" s="39">
        <v>46165.0</v>
      </c>
      <c r="B162" s="36" t="s">
        <v>67</v>
      </c>
      <c r="C162" s="36" t="s">
        <v>27</v>
      </c>
      <c r="D162" s="37">
        <v>0.0520833333333333</v>
      </c>
      <c r="E162" s="37">
        <v>0.05625</v>
      </c>
      <c r="F162" s="38" t="str">
        <f t="shared" si="1"/>
        <v>6</v>
      </c>
      <c r="G162" s="8"/>
      <c r="H162" s="14" t="str">
        <f t="shared" si="2"/>
        <v>22/05</v>
      </c>
      <c r="I162" s="15" t="str">
        <f t="shared" si="3"/>
        <v>Nuit</v>
      </c>
    </row>
    <row r="163" ht="14.25" customHeight="1">
      <c r="A163" s="39">
        <v>46165.0</v>
      </c>
      <c r="B163" s="36" t="s">
        <v>67</v>
      </c>
      <c r="C163" s="36" t="s">
        <v>27</v>
      </c>
      <c r="D163" s="37">
        <v>0.199305555555556</v>
      </c>
      <c r="E163" s="37">
        <v>0.213194444444444</v>
      </c>
      <c r="F163" s="38" t="str">
        <f t="shared" si="1"/>
        <v>20</v>
      </c>
      <c r="G163" s="8"/>
      <c r="H163" s="14" t="str">
        <f t="shared" si="2"/>
        <v>22/05</v>
      </c>
      <c r="I163" s="15" t="str">
        <f t="shared" si="3"/>
        <v>Nuit</v>
      </c>
    </row>
    <row r="164" ht="14.25" customHeight="1">
      <c r="A164" s="39">
        <v>46165.0</v>
      </c>
      <c r="B164" s="36" t="s">
        <v>67</v>
      </c>
      <c r="C164" s="36" t="s">
        <v>27</v>
      </c>
      <c r="D164" s="37">
        <v>0.228472222222222</v>
      </c>
      <c r="E164" s="37">
        <v>0.233333333333333</v>
      </c>
      <c r="F164" s="38" t="str">
        <f t="shared" si="1"/>
        <v>7</v>
      </c>
      <c r="G164" s="8"/>
      <c r="H164" s="14" t="str">
        <f t="shared" si="2"/>
        <v>22/05</v>
      </c>
      <c r="I164" s="15" t="str">
        <f t="shared" si="3"/>
        <v>Nuit</v>
      </c>
    </row>
    <row r="165" ht="14.25" customHeight="1">
      <c r="A165" s="39">
        <v>46165.0</v>
      </c>
      <c r="B165" s="36" t="s">
        <v>66</v>
      </c>
      <c r="C165" s="36" t="s">
        <v>27</v>
      </c>
      <c r="D165" s="37">
        <v>0.322916666666667</v>
      </c>
      <c r="E165" s="37">
        <v>0.327777777777778</v>
      </c>
      <c r="F165" s="38" t="str">
        <f t="shared" si="1"/>
        <v>7</v>
      </c>
      <c r="G165" s="8"/>
      <c r="H165" s="14" t="str">
        <f t="shared" si="2"/>
        <v>23/05</v>
      </c>
      <c r="I165" s="15" t="str">
        <f t="shared" si="3"/>
        <v>Matin</v>
      </c>
    </row>
    <row r="166" ht="14.25" customHeight="1">
      <c r="A166" s="39">
        <v>46165.0</v>
      </c>
      <c r="B166" s="36" t="s">
        <v>66</v>
      </c>
      <c r="C166" s="36" t="s">
        <v>27</v>
      </c>
      <c r="D166" s="37">
        <v>0.399305555555556</v>
      </c>
      <c r="E166" s="37">
        <v>0.404861111111111</v>
      </c>
      <c r="F166" s="38" t="str">
        <f t="shared" si="1"/>
        <v>8</v>
      </c>
      <c r="G166" s="8"/>
      <c r="H166" s="14" t="str">
        <f t="shared" si="2"/>
        <v>23/05</v>
      </c>
      <c r="I166" s="15" t="str">
        <f t="shared" si="3"/>
        <v>Matin</v>
      </c>
    </row>
    <row r="167" ht="14.25" customHeight="1">
      <c r="A167" s="39">
        <v>46165.0</v>
      </c>
      <c r="B167" s="36" t="s">
        <v>66</v>
      </c>
      <c r="C167" s="36" t="s">
        <v>27</v>
      </c>
      <c r="D167" s="37">
        <v>0.520833333333333</v>
      </c>
      <c r="E167" s="37">
        <v>0.528472222222222</v>
      </c>
      <c r="F167" s="38" t="str">
        <f t="shared" si="1"/>
        <v>11</v>
      </c>
      <c r="G167" s="8"/>
      <c r="H167" s="14" t="str">
        <f t="shared" si="2"/>
        <v>23/05</v>
      </c>
      <c r="I167" s="15" t="str">
        <f t="shared" si="3"/>
        <v>Matin</v>
      </c>
    </row>
    <row r="168" ht="14.25" customHeight="1">
      <c r="A168" s="39">
        <v>46165.0</v>
      </c>
      <c r="B168" s="36" t="s">
        <v>66</v>
      </c>
      <c r="C168" s="36" t="s">
        <v>27</v>
      </c>
      <c r="D168" s="37">
        <v>0.579861111111111</v>
      </c>
      <c r="E168" s="37">
        <v>0.586805555555556</v>
      </c>
      <c r="F168" s="38" t="str">
        <f t="shared" si="1"/>
        <v>10</v>
      </c>
      <c r="G168" s="8"/>
      <c r="H168" s="14" t="str">
        <f t="shared" si="2"/>
        <v>23/05</v>
      </c>
      <c r="I168" s="15" t="str">
        <f t="shared" si="3"/>
        <v>Matin</v>
      </c>
    </row>
    <row r="169" ht="14.25" customHeight="1">
      <c r="A169" s="39">
        <v>46165.0</v>
      </c>
      <c r="B169" s="36" t="s">
        <v>54</v>
      </c>
      <c r="C169" s="36" t="s">
        <v>27</v>
      </c>
      <c r="D169" s="37">
        <v>0.59375</v>
      </c>
      <c r="E169" s="37">
        <v>0.61875</v>
      </c>
      <c r="F169" s="38" t="str">
        <f t="shared" si="1"/>
        <v>36</v>
      </c>
      <c r="G169" s="8"/>
      <c r="H169" s="14" t="str">
        <f t="shared" si="2"/>
        <v>23/05</v>
      </c>
      <c r="I169" s="15" t="str">
        <f t="shared" si="3"/>
        <v>Après-midi</v>
      </c>
    </row>
    <row r="170" ht="14.25" customHeight="1">
      <c r="A170" s="39">
        <v>46165.0</v>
      </c>
      <c r="B170" s="36" t="s">
        <v>54</v>
      </c>
      <c r="C170" s="36" t="s">
        <v>27</v>
      </c>
      <c r="D170" s="37">
        <v>0.625</v>
      </c>
      <c r="E170" s="37">
        <v>0.629861111111111</v>
      </c>
      <c r="F170" s="38" t="str">
        <f t="shared" si="1"/>
        <v>7</v>
      </c>
      <c r="G170" s="8"/>
      <c r="H170" s="14" t="str">
        <f t="shared" si="2"/>
        <v>23/05</v>
      </c>
      <c r="I170" s="15" t="str">
        <f t="shared" si="3"/>
        <v>Après-midi</v>
      </c>
    </row>
    <row r="171" ht="14.25" customHeight="1">
      <c r="A171" s="39">
        <v>46165.0</v>
      </c>
      <c r="B171" s="36" t="s">
        <v>54</v>
      </c>
      <c r="C171" s="36" t="s">
        <v>27</v>
      </c>
      <c r="D171" s="37">
        <v>0.694444444444444</v>
      </c>
      <c r="E171" s="37">
        <v>0.697916666666667</v>
      </c>
      <c r="F171" s="38" t="str">
        <f t="shared" si="1"/>
        <v>5</v>
      </c>
      <c r="G171" s="8"/>
      <c r="H171" s="14" t="str">
        <f t="shared" si="2"/>
        <v>23/05</v>
      </c>
      <c r="I171" s="15" t="str">
        <f t="shared" si="3"/>
        <v>Après-midi</v>
      </c>
    </row>
    <row r="172" ht="14.25" customHeight="1">
      <c r="A172" s="39">
        <v>46165.0</v>
      </c>
      <c r="B172" s="36" t="s">
        <v>54</v>
      </c>
      <c r="C172" s="36" t="s">
        <v>27</v>
      </c>
      <c r="D172" s="37">
        <v>0.828472222222222</v>
      </c>
      <c r="E172" s="37">
        <v>0.833333333333333</v>
      </c>
      <c r="F172" s="38" t="str">
        <f t="shared" si="1"/>
        <v>7</v>
      </c>
      <c r="G172" s="8"/>
      <c r="H172" s="14" t="str">
        <f t="shared" si="2"/>
        <v>23/05</v>
      </c>
      <c r="I172" s="15" t="str">
        <f t="shared" si="3"/>
        <v>Après-midi</v>
      </c>
    </row>
    <row r="173" ht="14.25" customHeight="1">
      <c r="A173" s="39">
        <v>46165.0</v>
      </c>
      <c r="B173" s="36" t="s">
        <v>54</v>
      </c>
      <c r="C173" s="36" t="s">
        <v>27</v>
      </c>
      <c r="D173" s="37">
        <v>0.8875</v>
      </c>
      <c r="E173" s="37">
        <v>0.890972222222222</v>
      </c>
      <c r="F173" s="38" t="str">
        <f t="shared" si="1"/>
        <v>5</v>
      </c>
      <c r="G173" s="8"/>
      <c r="H173" s="14" t="str">
        <f t="shared" si="2"/>
        <v>23/05</v>
      </c>
      <c r="I173" s="15" t="str">
        <f t="shared" si="3"/>
        <v>Après-midi</v>
      </c>
    </row>
    <row r="174" ht="14.25" customHeight="1">
      <c r="A174" s="39">
        <v>46165.0</v>
      </c>
      <c r="B174" s="36" t="s">
        <v>54</v>
      </c>
      <c r="C174" s="36" t="s">
        <v>27</v>
      </c>
      <c r="D174" s="37">
        <v>0.916666666666667</v>
      </c>
      <c r="E174" s="37">
        <v>0.917361111111111</v>
      </c>
      <c r="F174" s="38" t="str">
        <f t="shared" si="1"/>
        <v>1</v>
      </c>
      <c r="G174" s="8"/>
      <c r="H174" s="14" t="str">
        <f t="shared" si="2"/>
        <v>23/05</v>
      </c>
      <c r="I174" s="15" t="str">
        <f t="shared" si="3"/>
        <v>Nuit</v>
      </c>
    </row>
    <row r="175" ht="14.25" customHeight="1">
      <c r="A175" s="39">
        <v>46165.0</v>
      </c>
      <c r="B175" s="36" t="s">
        <v>67</v>
      </c>
      <c r="C175" s="36" t="s">
        <v>27</v>
      </c>
      <c r="D175" s="37">
        <v>0.965277777777778</v>
      </c>
      <c r="E175" s="37">
        <v>0.970138888888889</v>
      </c>
      <c r="F175" s="38" t="str">
        <f t="shared" si="1"/>
        <v>7</v>
      </c>
      <c r="G175" s="8"/>
      <c r="H175" s="14" t="str">
        <f t="shared" si="2"/>
        <v>23/05</v>
      </c>
      <c r="I175" s="15" t="str">
        <f t="shared" si="3"/>
        <v>Nuit</v>
      </c>
    </row>
    <row r="176" ht="14.25" customHeight="1">
      <c r="A176" s="39">
        <v>46166.0</v>
      </c>
      <c r="B176" s="36" t="s">
        <v>67</v>
      </c>
      <c r="C176" s="36" t="s">
        <v>27</v>
      </c>
      <c r="D176" s="37">
        <v>0.0743055555555556</v>
      </c>
      <c r="E176" s="37">
        <v>0.0770833333333333</v>
      </c>
      <c r="F176" s="38" t="str">
        <f t="shared" si="1"/>
        <v>4</v>
      </c>
      <c r="G176" s="8"/>
      <c r="H176" s="14" t="str">
        <f t="shared" si="2"/>
        <v>23/05</v>
      </c>
      <c r="I176" s="15" t="str">
        <f t="shared" si="3"/>
        <v>Nuit</v>
      </c>
    </row>
    <row r="177" ht="14.25" customHeight="1">
      <c r="A177" s="39">
        <v>46166.0</v>
      </c>
      <c r="B177" s="36" t="s">
        <v>67</v>
      </c>
      <c r="C177" s="36" t="s">
        <v>27</v>
      </c>
      <c r="D177" s="37">
        <v>0.14375</v>
      </c>
      <c r="E177" s="37">
        <v>0.147222222222222</v>
      </c>
      <c r="F177" s="38" t="str">
        <f t="shared" si="1"/>
        <v>5</v>
      </c>
      <c r="G177" s="8"/>
      <c r="H177" s="14" t="str">
        <f t="shared" si="2"/>
        <v>23/05</v>
      </c>
      <c r="I177" s="15" t="str">
        <f t="shared" si="3"/>
        <v>Nuit</v>
      </c>
    </row>
    <row r="178" ht="14.25" customHeight="1">
      <c r="A178" s="39">
        <v>46166.0</v>
      </c>
      <c r="B178" s="36" t="s">
        <v>67</v>
      </c>
      <c r="C178" s="36" t="s">
        <v>27</v>
      </c>
      <c r="D178" s="37">
        <v>0.166666666666667</v>
      </c>
      <c r="E178" s="37">
        <v>0.174305555555556</v>
      </c>
      <c r="F178" s="38" t="str">
        <f t="shared" si="1"/>
        <v>11</v>
      </c>
      <c r="G178" s="8"/>
      <c r="H178" s="14" t="str">
        <f t="shared" si="2"/>
        <v>23/05</v>
      </c>
      <c r="I178" s="15" t="str">
        <f t="shared" si="3"/>
        <v>Nuit</v>
      </c>
    </row>
    <row r="179" ht="14.25" customHeight="1">
      <c r="A179" s="39">
        <v>46167.0</v>
      </c>
      <c r="B179" s="36" t="s">
        <v>54</v>
      </c>
      <c r="C179" s="36" t="s">
        <v>27</v>
      </c>
      <c r="D179" s="37">
        <v>0.340277777777778</v>
      </c>
      <c r="E179" s="37">
        <v>0.34375</v>
      </c>
      <c r="F179" s="38" t="str">
        <f t="shared" si="1"/>
        <v>5</v>
      </c>
      <c r="G179" s="8"/>
      <c r="H179" s="14" t="str">
        <f t="shared" si="2"/>
        <v>25/05</v>
      </c>
      <c r="I179" s="15" t="str">
        <f t="shared" si="3"/>
        <v>Matin</v>
      </c>
    </row>
    <row r="180" ht="14.25" customHeight="1">
      <c r="A180" s="39">
        <v>46167.0</v>
      </c>
      <c r="B180" s="36" t="s">
        <v>54</v>
      </c>
      <c r="C180" s="36" t="s">
        <v>27</v>
      </c>
      <c r="D180" s="37">
        <v>0.463194444444445</v>
      </c>
      <c r="E180" s="37">
        <v>0.475694444444444</v>
      </c>
      <c r="F180" s="38" t="str">
        <f t="shared" si="1"/>
        <v>18</v>
      </c>
      <c r="G180" s="8"/>
      <c r="H180" s="14" t="str">
        <f t="shared" si="2"/>
        <v>25/05</v>
      </c>
      <c r="I180" s="15" t="str">
        <f t="shared" si="3"/>
        <v>Matin</v>
      </c>
    </row>
    <row r="181" ht="14.25" customHeight="1">
      <c r="A181" s="39">
        <v>46167.0</v>
      </c>
      <c r="B181" s="36" t="s">
        <v>54</v>
      </c>
      <c r="C181" s="36" t="s">
        <v>27</v>
      </c>
      <c r="D181" s="37">
        <v>0.583333333333333</v>
      </c>
      <c r="E181" s="37">
        <v>0.586805555555556</v>
      </c>
      <c r="F181" s="38" t="str">
        <f t="shared" si="1"/>
        <v>5</v>
      </c>
      <c r="G181" s="8"/>
      <c r="H181" s="14" t="str">
        <f t="shared" si="2"/>
        <v>25/05</v>
      </c>
      <c r="I181" s="15" t="str">
        <f t="shared" si="3"/>
        <v>Après-midi</v>
      </c>
    </row>
    <row r="182" ht="14.25" customHeight="1">
      <c r="A182" s="39">
        <v>46167.0</v>
      </c>
      <c r="B182" s="36" t="s">
        <v>54</v>
      </c>
      <c r="C182" s="36" t="s">
        <v>27</v>
      </c>
      <c r="D182" s="37">
        <v>0.604166666666667</v>
      </c>
      <c r="E182" s="37">
        <v>0.694444444444444</v>
      </c>
      <c r="F182" s="38" t="str">
        <f t="shared" si="1"/>
        <v>130</v>
      </c>
      <c r="G182" s="8"/>
      <c r="H182" s="14" t="str">
        <f t="shared" si="2"/>
        <v>25/05</v>
      </c>
      <c r="I182" s="15" t="str">
        <f t="shared" si="3"/>
        <v>Après-midi</v>
      </c>
    </row>
    <row r="183" ht="14.25" customHeight="1">
      <c r="A183" s="39">
        <v>46167.0</v>
      </c>
      <c r="B183" s="36" t="s">
        <v>54</v>
      </c>
      <c r="C183" s="36" t="s">
        <v>27</v>
      </c>
      <c r="D183" s="37">
        <v>0.836805555555556</v>
      </c>
      <c r="E183" s="37">
        <v>0.841666666666667</v>
      </c>
      <c r="F183" s="38" t="str">
        <f t="shared" si="1"/>
        <v>7</v>
      </c>
      <c r="G183" s="8"/>
      <c r="H183" s="14" t="str">
        <f t="shared" si="2"/>
        <v>25/05</v>
      </c>
      <c r="I183" s="15" t="str">
        <f t="shared" si="3"/>
        <v>Après-midi</v>
      </c>
    </row>
    <row r="184" ht="14.25" customHeight="1">
      <c r="A184" s="39">
        <v>46167.0</v>
      </c>
      <c r="B184" s="36" t="s">
        <v>54</v>
      </c>
      <c r="C184" s="36" t="s">
        <v>27</v>
      </c>
      <c r="D184" s="37">
        <v>0.916666666666667</v>
      </c>
      <c r="E184" s="37">
        <v>0.920138888888889</v>
      </c>
      <c r="F184" s="38" t="str">
        <f t="shared" si="1"/>
        <v>5</v>
      </c>
      <c r="G184" s="8"/>
      <c r="H184" s="14" t="str">
        <f t="shared" si="2"/>
        <v>25/05</v>
      </c>
      <c r="I184" s="15" t="str">
        <f t="shared" si="3"/>
        <v>Nuit</v>
      </c>
    </row>
    <row r="185" ht="14.25" customHeight="1">
      <c r="A185" s="39">
        <v>46167.0</v>
      </c>
      <c r="B185" s="36" t="s">
        <v>66</v>
      </c>
      <c r="C185" s="36" t="s">
        <v>27</v>
      </c>
      <c r="D185" s="37">
        <v>0.943055555555556</v>
      </c>
      <c r="E185" s="37">
        <v>0.947916666666667</v>
      </c>
      <c r="F185" s="38" t="str">
        <f t="shared" si="1"/>
        <v>7</v>
      </c>
      <c r="G185" s="8"/>
      <c r="H185" s="14" t="str">
        <f t="shared" si="2"/>
        <v>25/05</v>
      </c>
      <c r="I185" s="15" t="str">
        <f t="shared" si="3"/>
        <v>Nuit</v>
      </c>
    </row>
    <row r="186" ht="14.25" customHeight="1">
      <c r="A186" s="39">
        <v>46167.0</v>
      </c>
      <c r="B186" s="36" t="s">
        <v>66</v>
      </c>
      <c r="C186" s="36" t="s">
        <v>27</v>
      </c>
      <c r="D186" s="37">
        <v>0.954166666666667</v>
      </c>
      <c r="E186" s="37">
        <v>0.968055555555556</v>
      </c>
      <c r="F186" s="38" t="str">
        <f t="shared" si="1"/>
        <v>20</v>
      </c>
      <c r="G186" s="8"/>
      <c r="H186" s="14" t="str">
        <f t="shared" si="2"/>
        <v>25/05</v>
      </c>
      <c r="I186" s="15" t="str">
        <f t="shared" si="3"/>
        <v>Nuit</v>
      </c>
    </row>
    <row r="187" ht="14.25" customHeight="1">
      <c r="A187" s="39">
        <v>46168.0</v>
      </c>
      <c r="B187" s="36" t="s">
        <v>66</v>
      </c>
      <c r="C187" s="36" t="s">
        <v>27</v>
      </c>
      <c r="D187" s="37">
        <v>0.125</v>
      </c>
      <c r="E187" s="37">
        <v>0.129861111111111</v>
      </c>
      <c r="F187" s="38" t="str">
        <f t="shared" si="1"/>
        <v>7</v>
      </c>
      <c r="G187" s="8"/>
      <c r="H187" s="14" t="str">
        <f t="shared" si="2"/>
        <v>25/05</v>
      </c>
      <c r="I187" s="15" t="str">
        <f t="shared" si="3"/>
        <v>Nuit</v>
      </c>
    </row>
    <row r="188" ht="14.25" customHeight="1">
      <c r="A188" s="39">
        <v>46168.0</v>
      </c>
      <c r="B188" s="36" t="s">
        <v>66</v>
      </c>
      <c r="C188" s="36" t="s">
        <v>27</v>
      </c>
      <c r="D188" s="37">
        <v>0.178472222222222</v>
      </c>
      <c r="E188" s="37">
        <v>0.181944444444444</v>
      </c>
      <c r="F188" s="38" t="str">
        <f t="shared" si="1"/>
        <v>5</v>
      </c>
      <c r="G188" s="8"/>
      <c r="H188" s="14" t="str">
        <f t="shared" si="2"/>
        <v>25/05</v>
      </c>
      <c r="I188" s="15" t="str">
        <f t="shared" si="3"/>
        <v>Nuit</v>
      </c>
    </row>
    <row r="189" ht="14.25" customHeight="1">
      <c r="A189" s="39">
        <v>46168.0</v>
      </c>
      <c r="B189" s="36" t="s">
        <v>66</v>
      </c>
      <c r="C189" s="36" t="s">
        <v>27</v>
      </c>
      <c r="D189" s="37">
        <v>0.243055555555556</v>
      </c>
      <c r="E189" s="37">
        <v>0.25</v>
      </c>
      <c r="F189" s="38" t="str">
        <f t="shared" si="1"/>
        <v>10</v>
      </c>
      <c r="G189" s="8"/>
      <c r="H189" s="14" t="str">
        <f t="shared" si="2"/>
        <v>25/05</v>
      </c>
      <c r="I189" s="15" t="str">
        <f t="shared" si="3"/>
        <v>Nuit</v>
      </c>
    </row>
    <row r="190" ht="14.25" customHeight="1">
      <c r="A190" s="39">
        <v>46168.0</v>
      </c>
      <c r="B190" s="36" t="s">
        <v>54</v>
      </c>
      <c r="C190" s="36" t="s">
        <v>27</v>
      </c>
      <c r="D190" s="37">
        <v>0.272916666666667</v>
      </c>
      <c r="E190" s="37">
        <v>0.282638888888889</v>
      </c>
      <c r="F190" s="38" t="str">
        <f t="shared" si="1"/>
        <v>14</v>
      </c>
      <c r="G190" s="8"/>
      <c r="H190" s="14" t="str">
        <f t="shared" si="2"/>
        <v>26/05</v>
      </c>
      <c r="I190" s="15" t="str">
        <f t="shared" si="3"/>
        <v>Matin</v>
      </c>
    </row>
    <row r="191" ht="14.25" customHeight="1">
      <c r="A191" s="39">
        <v>46168.0</v>
      </c>
      <c r="B191" s="36" t="s">
        <v>54</v>
      </c>
      <c r="C191" s="36" t="s">
        <v>27</v>
      </c>
      <c r="D191" s="37">
        <v>0.377083333333333</v>
      </c>
      <c r="E191" s="37">
        <v>0.382638888888889</v>
      </c>
      <c r="F191" s="38" t="str">
        <f t="shared" si="1"/>
        <v>8</v>
      </c>
      <c r="G191" s="8"/>
      <c r="H191" s="14" t="str">
        <f t="shared" si="2"/>
        <v>26/05</v>
      </c>
      <c r="I191" s="15" t="str">
        <f t="shared" si="3"/>
        <v>Matin</v>
      </c>
    </row>
    <row r="192" ht="14.25" customHeight="1">
      <c r="A192" s="39">
        <v>46168.0</v>
      </c>
      <c r="B192" s="36" t="s">
        <v>54</v>
      </c>
      <c r="C192" s="36" t="s">
        <v>27</v>
      </c>
      <c r="D192" s="37">
        <v>0.447916666666667</v>
      </c>
      <c r="E192" s="37">
        <v>0.454861111111111</v>
      </c>
      <c r="F192" s="38" t="str">
        <f t="shared" si="1"/>
        <v>10</v>
      </c>
      <c r="G192" s="8"/>
      <c r="H192" s="14" t="str">
        <f t="shared" si="2"/>
        <v>26/05</v>
      </c>
      <c r="I192" s="15" t="str">
        <f t="shared" si="3"/>
        <v>Matin</v>
      </c>
    </row>
    <row r="193" ht="14.25" customHeight="1">
      <c r="A193" s="39">
        <v>46168.0</v>
      </c>
      <c r="B193" s="36" t="s">
        <v>54</v>
      </c>
      <c r="C193" s="36" t="s">
        <v>27</v>
      </c>
      <c r="D193" s="37">
        <v>0.534027777777778</v>
      </c>
      <c r="E193" s="37">
        <v>0.541666666666667</v>
      </c>
      <c r="F193" s="38" t="str">
        <f t="shared" si="1"/>
        <v>11</v>
      </c>
      <c r="G193" s="8"/>
      <c r="H193" s="14" t="str">
        <f t="shared" si="2"/>
        <v>26/05</v>
      </c>
      <c r="I193" s="15" t="str">
        <f t="shared" si="3"/>
        <v>Matin</v>
      </c>
    </row>
    <row r="194" ht="14.25" customHeight="1">
      <c r="A194" s="39">
        <v>46169.0</v>
      </c>
      <c r="B194" s="36" t="s">
        <v>67</v>
      </c>
      <c r="C194" s="36" t="s">
        <v>27</v>
      </c>
      <c r="D194" s="37">
        <v>0.605555555555556</v>
      </c>
      <c r="E194" s="37">
        <v>0.615972222222222</v>
      </c>
      <c r="F194" s="38" t="str">
        <f t="shared" si="1"/>
        <v>15</v>
      </c>
      <c r="G194" s="8"/>
      <c r="H194" s="14" t="str">
        <f t="shared" si="2"/>
        <v>27/05</v>
      </c>
      <c r="I194" s="15" t="str">
        <f t="shared" si="3"/>
        <v>Après-midi</v>
      </c>
    </row>
    <row r="195" ht="14.25" customHeight="1">
      <c r="A195" s="39">
        <v>46169.0</v>
      </c>
      <c r="B195" s="36" t="s">
        <v>67</v>
      </c>
      <c r="C195" s="36" t="s">
        <v>27</v>
      </c>
      <c r="D195" s="37">
        <v>0.677083333333333</v>
      </c>
      <c r="E195" s="37">
        <v>0.685416666666667</v>
      </c>
      <c r="F195" s="38" t="str">
        <f t="shared" si="1"/>
        <v>12</v>
      </c>
      <c r="G195" s="8"/>
      <c r="H195" s="14" t="str">
        <f t="shared" si="2"/>
        <v>27/05</v>
      </c>
      <c r="I195" s="15" t="str">
        <f t="shared" si="3"/>
        <v>Après-midi</v>
      </c>
    </row>
    <row r="196" ht="14.25" customHeight="1">
      <c r="A196" s="39">
        <v>46169.0</v>
      </c>
      <c r="B196" s="36" t="s">
        <v>67</v>
      </c>
      <c r="C196" s="36" t="s">
        <v>27</v>
      </c>
      <c r="D196" s="37">
        <v>0.770833333333333</v>
      </c>
      <c r="E196" s="37">
        <v>0.777777777777778</v>
      </c>
      <c r="F196" s="38" t="str">
        <f t="shared" si="1"/>
        <v>10</v>
      </c>
      <c r="G196" s="8"/>
      <c r="H196" s="14" t="str">
        <f t="shared" si="2"/>
        <v>27/05</v>
      </c>
      <c r="I196" s="15" t="str">
        <f t="shared" si="3"/>
        <v>Après-midi</v>
      </c>
    </row>
    <row r="197" ht="14.25" customHeight="1">
      <c r="A197" s="39">
        <v>46169.0</v>
      </c>
      <c r="B197" s="36" t="s">
        <v>67</v>
      </c>
      <c r="C197" s="36" t="s">
        <v>27</v>
      </c>
      <c r="D197" s="37">
        <v>0.791666666666667</v>
      </c>
      <c r="E197" s="37">
        <v>0.818055555555556</v>
      </c>
      <c r="F197" s="38" t="str">
        <f t="shared" si="1"/>
        <v>38</v>
      </c>
      <c r="G197" s="8"/>
      <c r="H197" s="14" t="str">
        <f t="shared" si="2"/>
        <v>27/05</v>
      </c>
      <c r="I197" s="15" t="str">
        <f t="shared" si="3"/>
        <v>Après-midi</v>
      </c>
    </row>
    <row r="198" ht="14.25" customHeight="1">
      <c r="A198" s="39">
        <v>46169.0</v>
      </c>
      <c r="B198" s="36" t="s">
        <v>67</v>
      </c>
      <c r="C198" s="36" t="s">
        <v>27</v>
      </c>
      <c r="D198" s="37">
        <v>0.861111111111111</v>
      </c>
      <c r="E198" s="37">
        <v>0.867361111111111</v>
      </c>
      <c r="F198" s="38" t="str">
        <f t="shared" si="1"/>
        <v>9</v>
      </c>
      <c r="G198" s="8"/>
      <c r="H198" s="14" t="str">
        <f t="shared" si="2"/>
        <v>27/05</v>
      </c>
      <c r="I198" s="15" t="str">
        <f t="shared" si="3"/>
        <v>Après-midi</v>
      </c>
    </row>
    <row r="199" ht="14.25" customHeight="1">
      <c r="A199" s="39">
        <v>46169.0</v>
      </c>
      <c r="B199" s="36" t="s">
        <v>67</v>
      </c>
      <c r="C199" s="36" t="s">
        <v>27</v>
      </c>
      <c r="D199" s="37">
        <v>0.916666666666667</v>
      </c>
      <c r="E199" s="37">
        <v>0.920138888888889</v>
      </c>
      <c r="F199" s="38" t="str">
        <f t="shared" si="1"/>
        <v>5</v>
      </c>
      <c r="G199" s="8"/>
      <c r="H199" s="14" t="str">
        <f t="shared" si="2"/>
        <v>27/05</v>
      </c>
      <c r="I199" s="15" t="str">
        <f t="shared" si="3"/>
        <v>Nuit</v>
      </c>
    </row>
    <row r="200" ht="14.25" customHeight="1">
      <c r="A200" s="39">
        <v>46169.0</v>
      </c>
      <c r="B200" s="36" t="s">
        <v>66</v>
      </c>
      <c r="C200" s="36" t="s">
        <v>27</v>
      </c>
      <c r="D200" s="37">
        <v>0.958333333333333</v>
      </c>
      <c r="E200" s="37">
        <v>0.999305555555556</v>
      </c>
      <c r="F200" s="38" t="str">
        <f t="shared" si="1"/>
        <v>59</v>
      </c>
      <c r="G200" s="8"/>
      <c r="H200" s="14" t="str">
        <f t="shared" si="2"/>
        <v>27/05</v>
      </c>
      <c r="I200" s="15" t="str">
        <f t="shared" si="3"/>
        <v>Nuit</v>
      </c>
    </row>
    <row r="201" ht="14.25" customHeight="1">
      <c r="A201" s="39">
        <v>46169.0</v>
      </c>
      <c r="B201" s="36" t="s">
        <v>66</v>
      </c>
      <c r="C201" s="36" t="s">
        <v>27</v>
      </c>
      <c r="D201" s="37">
        <v>0.0138888888888889</v>
      </c>
      <c r="E201" s="37">
        <v>0.0173611111111111</v>
      </c>
      <c r="F201" s="38" t="str">
        <f t="shared" si="1"/>
        <v>5</v>
      </c>
      <c r="G201" s="8"/>
      <c r="H201" s="14" t="str">
        <f t="shared" si="2"/>
        <v>26/05</v>
      </c>
      <c r="I201" s="15" t="str">
        <f t="shared" si="3"/>
        <v>Nuit</v>
      </c>
    </row>
    <row r="202" ht="14.25" customHeight="1">
      <c r="A202" s="39">
        <v>46169.0</v>
      </c>
      <c r="B202" s="36" t="s">
        <v>66</v>
      </c>
      <c r="C202" s="36" t="s">
        <v>27</v>
      </c>
      <c r="D202" s="37">
        <v>0.102083333333333</v>
      </c>
      <c r="E202" s="37">
        <v>0.107638888888889</v>
      </c>
      <c r="F202" s="38" t="str">
        <f t="shared" si="1"/>
        <v>8</v>
      </c>
      <c r="G202" s="8"/>
      <c r="H202" s="14" t="str">
        <f t="shared" si="2"/>
        <v>26/05</v>
      </c>
      <c r="I202" s="15" t="str">
        <f t="shared" si="3"/>
        <v>Nuit</v>
      </c>
    </row>
    <row r="203" ht="14.25" customHeight="1">
      <c r="A203" s="39">
        <v>46169.0</v>
      </c>
      <c r="B203" s="36" t="s">
        <v>66</v>
      </c>
      <c r="C203" s="36" t="s">
        <v>27</v>
      </c>
      <c r="D203" s="37">
        <v>0.150694444444444</v>
      </c>
      <c r="E203" s="37">
        <v>0.154861111111111</v>
      </c>
      <c r="F203" s="38" t="str">
        <f t="shared" si="1"/>
        <v>6</v>
      </c>
      <c r="G203" s="8"/>
      <c r="H203" s="14" t="str">
        <f t="shared" si="2"/>
        <v>26/05</v>
      </c>
      <c r="I203" s="15" t="str">
        <f t="shared" si="3"/>
        <v>Nuit</v>
      </c>
    </row>
    <row r="204" ht="14.25" customHeight="1">
      <c r="A204" s="39">
        <v>46169.0</v>
      </c>
      <c r="B204" s="36" t="s">
        <v>66</v>
      </c>
      <c r="C204" s="36" t="s">
        <v>27</v>
      </c>
      <c r="D204" s="37">
        <v>0.233333333333333</v>
      </c>
      <c r="E204" s="37">
        <v>0.2375</v>
      </c>
      <c r="F204" s="38" t="str">
        <f t="shared" si="1"/>
        <v>6</v>
      </c>
      <c r="G204" s="8"/>
      <c r="H204" s="14" t="str">
        <f t="shared" si="2"/>
        <v>26/05</v>
      </c>
      <c r="I204" s="15" t="str">
        <f t="shared" si="3"/>
        <v>Nuit</v>
      </c>
    </row>
    <row r="205" ht="14.25" customHeight="1">
      <c r="A205" s="39">
        <v>46169.0</v>
      </c>
      <c r="B205" s="36" t="s">
        <v>66</v>
      </c>
      <c r="C205" s="36" t="s">
        <v>27</v>
      </c>
      <c r="D205" s="37">
        <v>0.25</v>
      </c>
      <c r="E205" s="37">
        <v>0.251388888888889</v>
      </c>
      <c r="F205" s="38" t="str">
        <f t="shared" si="1"/>
        <v>2</v>
      </c>
      <c r="G205" s="8"/>
      <c r="H205" s="14" t="str">
        <f t="shared" si="2"/>
        <v>27/05</v>
      </c>
      <c r="I205" s="15" t="str">
        <f t="shared" si="3"/>
        <v>Matin</v>
      </c>
    </row>
    <row r="206" ht="14.25" customHeight="1">
      <c r="A206" s="39">
        <v>46169.0</v>
      </c>
      <c r="B206" s="36" t="s">
        <v>54</v>
      </c>
      <c r="C206" s="36" t="s">
        <v>27</v>
      </c>
      <c r="D206" s="37">
        <v>0.334027777777778</v>
      </c>
      <c r="E206" s="37">
        <v>0.34375</v>
      </c>
      <c r="F206" s="38" t="str">
        <f t="shared" si="1"/>
        <v>14</v>
      </c>
      <c r="G206" s="8"/>
      <c r="H206" s="14" t="str">
        <f t="shared" si="2"/>
        <v>27/05</v>
      </c>
      <c r="I206" s="15" t="str">
        <f t="shared" si="3"/>
        <v>Matin</v>
      </c>
    </row>
    <row r="207" ht="14.25" customHeight="1">
      <c r="A207" s="39">
        <v>46169.0</v>
      </c>
      <c r="B207" s="36" t="s">
        <v>54</v>
      </c>
      <c r="C207" s="36" t="s">
        <v>27</v>
      </c>
      <c r="D207" s="37">
        <v>0.477777777777778</v>
      </c>
      <c r="E207" s="37">
        <v>0.486111111111111</v>
      </c>
      <c r="F207" s="38" t="str">
        <f t="shared" si="1"/>
        <v>12</v>
      </c>
      <c r="G207" s="8"/>
      <c r="H207" s="14" t="str">
        <f t="shared" si="2"/>
        <v>27/05</v>
      </c>
      <c r="I207" s="15" t="str">
        <f t="shared" si="3"/>
        <v>Matin</v>
      </c>
    </row>
    <row r="208" ht="14.25" customHeight="1">
      <c r="A208" s="39">
        <v>46169.0</v>
      </c>
      <c r="B208" s="36" t="s">
        <v>67</v>
      </c>
      <c r="C208" s="36" t="s">
        <v>27</v>
      </c>
      <c r="D208" s="37">
        <v>0.604166666666667</v>
      </c>
      <c r="E208" s="37">
        <v>0.610416666666667</v>
      </c>
      <c r="F208" s="38" t="str">
        <f t="shared" si="1"/>
        <v>9</v>
      </c>
      <c r="G208" s="8"/>
      <c r="H208" s="14" t="str">
        <f t="shared" si="2"/>
        <v>27/05</v>
      </c>
      <c r="I208" s="15" t="str">
        <f t="shared" si="3"/>
        <v>Après-midi</v>
      </c>
    </row>
    <row r="209" ht="14.25" customHeight="1">
      <c r="A209" s="39">
        <v>46169.0</v>
      </c>
      <c r="B209" s="36" t="s">
        <v>67</v>
      </c>
      <c r="C209" s="36" t="s">
        <v>27</v>
      </c>
      <c r="D209" s="37">
        <v>0.683333333333333</v>
      </c>
      <c r="E209" s="37">
        <v>0.691666666666667</v>
      </c>
      <c r="F209" s="38" t="str">
        <f t="shared" si="1"/>
        <v>12</v>
      </c>
      <c r="G209" s="8"/>
      <c r="H209" s="14" t="str">
        <f t="shared" si="2"/>
        <v>27/05</v>
      </c>
      <c r="I209" s="15" t="str">
        <f t="shared" si="3"/>
        <v>Après-midi</v>
      </c>
    </row>
    <row r="210" ht="14.25" customHeight="1">
      <c r="A210" s="39">
        <v>46169.0</v>
      </c>
      <c r="B210" s="36" t="s">
        <v>67</v>
      </c>
      <c r="C210" s="36" t="s">
        <v>27</v>
      </c>
      <c r="D210" s="37">
        <v>0.814583333333333</v>
      </c>
      <c r="E210" s="37">
        <v>0.8375</v>
      </c>
      <c r="F210" s="38" t="str">
        <f t="shared" si="1"/>
        <v>33</v>
      </c>
      <c r="G210" s="8"/>
      <c r="H210" s="14" t="str">
        <f t="shared" si="2"/>
        <v>27/05</v>
      </c>
      <c r="I210" s="15" t="str">
        <f t="shared" si="3"/>
        <v>Après-midi</v>
      </c>
    </row>
    <row r="211" ht="14.25" customHeight="1">
      <c r="A211" s="39">
        <v>46169.0</v>
      </c>
      <c r="B211" s="36" t="s">
        <v>67</v>
      </c>
      <c r="C211" s="36" t="s">
        <v>27</v>
      </c>
      <c r="D211" s="37">
        <v>0.910416666666667</v>
      </c>
      <c r="E211" s="37">
        <v>0.914583333333333</v>
      </c>
      <c r="F211" s="38" t="str">
        <f t="shared" si="1"/>
        <v>6</v>
      </c>
      <c r="G211" s="8"/>
      <c r="H211" s="14" t="str">
        <f t="shared" si="2"/>
        <v>27/05</v>
      </c>
      <c r="I211" s="15" t="str">
        <f t="shared" si="3"/>
        <v>Après-midi</v>
      </c>
    </row>
    <row r="212" ht="14.25" customHeight="1">
      <c r="A212" s="39">
        <v>46169.0</v>
      </c>
      <c r="B212" s="36" t="s">
        <v>67</v>
      </c>
      <c r="C212" s="36" t="s">
        <v>27</v>
      </c>
      <c r="D212" s="37">
        <v>0.916666666666667</v>
      </c>
      <c r="E212" s="37">
        <v>0.926388888888889</v>
      </c>
      <c r="F212" s="38" t="str">
        <f t="shared" si="1"/>
        <v>14</v>
      </c>
      <c r="G212" s="8"/>
      <c r="H212" s="14" t="str">
        <f t="shared" si="2"/>
        <v>27/05</v>
      </c>
      <c r="I212" s="15" t="str">
        <f t="shared" si="3"/>
        <v>Nuit</v>
      </c>
    </row>
    <row r="213" ht="14.25" customHeight="1">
      <c r="A213" s="39">
        <v>46169.0</v>
      </c>
      <c r="B213" s="36" t="s">
        <v>66</v>
      </c>
      <c r="C213" s="36" t="s">
        <v>27</v>
      </c>
      <c r="D213" s="37">
        <v>0.944444444444444</v>
      </c>
      <c r="E213" s="37">
        <v>0.947916666666667</v>
      </c>
      <c r="F213" s="38" t="str">
        <f t="shared" si="1"/>
        <v>5</v>
      </c>
      <c r="G213" s="8"/>
      <c r="H213" s="14" t="str">
        <f t="shared" si="2"/>
        <v>27/05</v>
      </c>
      <c r="I213" s="15" t="str">
        <f t="shared" si="3"/>
        <v>Nuit</v>
      </c>
    </row>
    <row r="214" ht="14.25" customHeight="1">
      <c r="A214" s="39">
        <v>46170.0</v>
      </c>
      <c r="B214" s="36" t="s">
        <v>66</v>
      </c>
      <c r="C214" s="36" t="s">
        <v>27</v>
      </c>
      <c r="D214" s="37">
        <v>0.104166666666667</v>
      </c>
      <c r="E214" s="37">
        <v>0.108333333333333</v>
      </c>
      <c r="F214" s="38" t="str">
        <f t="shared" si="1"/>
        <v>6</v>
      </c>
      <c r="G214" s="8"/>
      <c r="H214" s="14" t="str">
        <f t="shared" si="2"/>
        <v>27/05</v>
      </c>
      <c r="I214" s="15" t="str">
        <f t="shared" si="3"/>
        <v>Nuit</v>
      </c>
    </row>
    <row r="215" ht="14.25" customHeight="1">
      <c r="A215" s="39">
        <v>46170.0</v>
      </c>
      <c r="B215" s="36" t="s">
        <v>66</v>
      </c>
      <c r="C215" s="36" t="s">
        <v>27</v>
      </c>
      <c r="D215" s="37">
        <v>0.178472222222222</v>
      </c>
      <c r="E215" s="37">
        <v>0.184027777777778</v>
      </c>
      <c r="F215" s="38" t="str">
        <f t="shared" si="1"/>
        <v>8</v>
      </c>
      <c r="G215" s="8"/>
      <c r="H215" s="14" t="str">
        <f t="shared" si="2"/>
        <v>27/05</v>
      </c>
      <c r="I215" s="15" t="str">
        <f t="shared" si="3"/>
        <v>Nuit</v>
      </c>
    </row>
    <row r="216" ht="14.25" customHeight="1">
      <c r="A216" s="39">
        <v>46170.0</v>
      </c>
      <c r="B216" s="36" t="s">
        <v>66</v>
      </c>
      <c r="C216" s="36" t="s">
        <v>27</v>
      </c>
      <c r="D216" s="37">
        <v>0.243055555555556</v>
      </c>
      <c r="E216" s="37">
        <v>0.25</v>
      </c>
      <c r="F216" s="38" t="str">
        <f t="shared" si="1"/>
        <v>10</v>
      </c>
      <c r="G216" s="8"/>
      <c r="H216" s="14" t="str">
        <f t="shared" si="2"/>
        <v>27/05</v>
      </c>
      <c r="I216" s="15" t="str">
        <f t="shared" si="3"/>
        <v>Nuit</v>
      </c>
    </row>
    <row r="217" ht="14.25" customHeight="1">
      <c r="A217" s="39">
        <v>46170.0</v>
      </c>
      <c r="B217" s="36" t="s">
        <v>54</v>
      </c>
      <c r="C217" s="36" t="s">
        <v>27</v>
      </c>
      <c r="D217" s="37">
        <v>0.291666666666667</v>
      </c>
      <c r="E217" s="37">
        <v>0.309027777777778</v>
      </c>
      <c r="F217" s="38" t="str">
        <f t="shared" si="1"/>
        <v>25</v>
      </c>
      <c r="G217" s="8"/>
      <c r="H217" s="14" t="str">
        <f t="shared" si="2"/>
        <v>28/05</v>
      </c>
      <c r="I217" s="15" t="str">
        <f t="shared" si="3"/>
        <v>Matin</v>
      </c>
    </row>
    <row r="218" ht="14.25" customHeight="1">
      <c r="A218" s="39">
        <v>46170.0</v>
      </c>
      <c r="B218" s="36" t="s">
        <v>54</v>
      </c>
      <c r="C218" s="36" t="s">
        <v>27</v>
      </c>
      <c r="D218" s="37">
        <v>0.323611111111111</v>
      </c>
      <c r="E218" s="37">
        <v>0.333333333333333</v>
      </c>
      <c r="F218" s="38" t="str">
        <f t="shared" si="1"/>
        <v>14</v>
      </c>
      <c r="G218" s="8"/>
      <c r="H218" s="14" t="str">
        <f t="shared" si="2"/>
        <v>28/05</v>
      </c>
      <c r="I218" s="15" t="str">
        <f t="shared" si="3"/>
        <v>Matin</v>
      </c>
    </row>
    <row r="219" ht="14.25" customHeight="1">
      <c r="A219" s="39">
        <v>46170.0</v>
      </c>
      <c r="B219" s="36" t="s">
        <v>54</v>
      </c>
      <c r="C219" s="36" t="s">
        <v>27</v>
      </c>
      <c r="D219" s="37">
        <v>0.493055555555556</v>
      </c>
      <c r="E219" s="37">
        <v>0.503472222222222</v>
      </c>
      <c r="F219" s="38" t="str">
        <f t="shared" si="1"/>
        <v>15</v>
      </c>
      <c r="G219" s="8"/>
      <c r="H219" s="14" t="str">
        <f t="shared" si="2"/>
        <v>28/05</v>
      </c>
      <c r="I219" s="15" t="str">
        <f t="shared" si="3"/>
        <v>Matin</v>
      </c>
    </row>
    <row r="220" ht="14.25" customHeight="1">
      <c r="A220" s="39">
        <v>46170.0</v>
      </c>
      <c r="B220" s="36" t="s">
        <v>54</v>
      </c>
      <c r="C220" s="36" t="s">
        <v>27</v>
      </c>
      <c r="D220" s="37">
        <v>0.583333333333333</v>
      </c>
      <c r="E220" s="37">
        <v>0.586805555555556</v>
      </c>
      <c r="F220" s="38" t="str">
        <f t="shared" si="1"/>
        <v>5</v>
      </c>
      <c r="G220" s="8"/>
      <c r="H220" s="14" t="str">
        <f t="shared" si="2"/>
        <v>28/05</v>
      </c>
      <c r="I220" s="15" t="str">
        <f t="shared" si="3"/>
        <v>Après-midi</v>
      </c>
    </row>
    <row r="221" ht="14.25" customHeight="1">
      <c r="A221" s="39">
        <v>46170.0</v>
      </c>
      <c r="B221" s="36" t="s">
        <v>67</v>
      </c>
      <c r="C221" s="36" t="s">
        <v>27</v>
      </c>
      <c r="D221" s="37">
        <v>0.701388888888889</v>
      </c>
      <c r="E221" s="37">
        <v>0.708333333333333</v>
      </c>
      <c r="F221" s="38" t="str">
        <f t="shared" si="1"/>
        <v>10</v>
      </c>
      <c r="G221" s="8"/>
      <c r="H221" s="14" t="str">
        <f t="shared" si="2"/>
        <v>28/05</v>
      </c>
      <c r="I221" s="15" t="str">
        <f t="shared" si="3"/>
        <v>Après-midi</v>
      </c>
    </row>
    <row r="222" ht="14.25" customHeight="1">
      <c r="A222" s="39">
        <v>46170.0</v>
      </c>
      <c r="B222" s="36" t="s">
        <v>67</v>
      </c>
      <c r="C222" s="36" t="s">
        <v>27</v>
      </c>
      <c r="D222" s="37">
        <v>0.716666666666667</v>
      </c>
      <c r="E222" s="37">
        <v>0.722222222222222</v>
      </c>
      <c r="F222" s="38" t="str">
        <f t="shared" si="1"/>
        <v>8</v>
      </c>
      <c r="G222" s="8"/>
      <c r="H222" s="14" t="str">
        <f t="shared" si="2"/>
        <v>28/05</v>
      </c>
      <c r="I222" s="15" t="str">
        <f t="shared" si="3"/>
        <v>Après-midi</v>
      </c>
    </row>
    <row r="223" ht="14.25" customHeight="1">
      <c r="A223" s="39">
        <v>46170.0</v>
      </c>
      <c r="B223" s="36" t="s">
        <v>67</v>
      </c>
      <c r="C223" s="36" t="s">
        <v>27</v>
      </c>
      <c r="D223" s="37">
        <v>0.745138888888889</v>
      </c>
      <c r="E223" s="37">
        <v>0.75</v>
      </c>
      <c r="F223" s="38" t="str">
        <f t="shared" si="1"/>
        <v>7</v>
      </c>
      <c r="G223" s="8"/>
      <c r="H223" s="14" t="str">
        <f t="shared" si="2"/>
        <v>28/05</v>
      </c>
      <c r="I223" s="15" t="str">
        <f t="shared" si="3"/>
        <v>Après-midi</v>
      </c>
    </row>
    <row r="224" ht="14.25" customHeight="1">
      <c r="A224" s="39">
        <v>46170.0</v>
      </c>
      <c r="B224" s="36" t="s">
        <v>67</v>
      </c>
      <c r="C224" s="36" t="s">
        <v>27</v>
      </c>
      <c r="D224" s="37">
        <v>0.820138888888889</v>
      </c>
      <c r="E224" s="37">
        <v>0.826388888888889</v>
      </c>
      <c r="F224" s="38" t="str">
        <f t="shared" si="1"/>
        <v>9</v>
      </c>
      <c r="G224" s="8"/>
      <c r="H224" s="14" t="str">
        <f t="shared" si="2"/>
        <v>28/05</v>
      </c>
      <c r="I224" s="15" t="str">
        <f t="shared" si="3"/>
        <v>Après-midi</v>
      </c>
    </row>
    <row r="225" ht="14.25" customHeight="1">
      <c r="A225" s="39">
        <v>46170.0</v>
      </c>
      <c r="B225" s="36" t="s">
        <v>66</v>
      </c>
      <c r="C225" s="36" t="s">
        <v>27</v>
      </c>
      <c r="D225" s="37">
        <v>0.984722222222222</v>
      </c>
      <c r="E225" s="37">
        <v>0.986111111111111</v>
      </c>
      <c r="F225" s="38" t="str">
        <f t="shared" si="1"/>
        <v>2</v>
      </c>
      <c r="G225" s="8"/>
      <c r="H225" s="14" t="str">
        <f t="shared" si="2"/>
        <v>28/05</v>
      </c>
      <c r="I225" s="15" t="str">
        <f t="shared" si="3"/>
        <v>Nuit</v>
      </c>
    </row>
    <row r="226" ht="14.25" customHeight="1">
      <c r="A226" s="39">
        <v>46171.0</v>
      </c>
      <c r="B226" s="36" t="s">
        <v>66</v>
      </c>
      <c r="C226" s="36" t="s">
        <v>27</v>
      </c>
      <c r="D226" s="37">
        <v>0.129861111111111</v>
      </c>
      <c r="E226" s="37">
        <v>0.16875</v>
      </c>
      <c r="F226" s="38" t="str">
        <f t="shared" si="1"/>
        <v>56</v>
      </c>
      <c r="G226" s="8"/>
      <c r="H226" s="14" t="str">
        <f t="shared" si="2"/>
        <v>28/05</v>
      </c>
      <c r="I226" s="15" t="str">
        <f t="shared" si="3"/>
        <v>Nuit</v>
      </c>
    </row>
    <row r="227" ht="14.25" customHeight="1">
      <c r="A227" s="39">
        <v>46171.0</v>
      </c>
      <c r="B227" s="36" t="s">
        <v>66</v>
      </c>
      <c r="C227" s="36" t="s">
        <v>27</v>
      </c>
      <c r="D227" s="37">
        <v>0.171527777777778</v>
      </c>
      <c r="E227" s="37">
        <v>0.175694444444444</v>
      </c>
      <c r="F227" s="38" t="str">
        <f t="shared" si="1"/>
        <v>6</v>
      </c>
      <c r="G227" s="8"/>
      <c r="H227" s="14" t="str">
        <f t="shared" si="2"/>
        <v>28/05</v>
      </c>
      <c r="I227" s="15" t="str">
        <f t="shared" si="3"/>
        <v>Nuit</v>
      </c>
    </row>
    <row r="228" ht="14.25" customHeight="1">
      <c r="A228" s="39">
        <v>46171.0</v>
      </c>
      <c r="B228" s="36" t="s">
        <v>66</v>
      </c>
      <c r="C228" s="36" t="s">
        <v>27</v>
      </c>
      <c r="D228" s="37">
        <v>0.18125</v>
      </c>
      <c r="E228" s="37">
        <v>0.189583333333333</v>
      </c>
      <c r="F228" s="38" t="str">
        <f t="shared" si="1"/>
        <v>12</v>
      </c>
      <c r="G228" s="8"/>
      <c r="H228" s="14" t="str">
        <f t="shared" si="2"/>
        <v>28/05</v>
      </c>
      <c r="I228" s="15" t="str">
        <f t="shared" si="3"/>
        <v>Nuit</v>
      </c>
    </row>
    <row r="229" ht="14.25" customHeight="1">
      <c r="A229" s="39">
        <v>46171.0</v>
      </c>
      <c r="B229" s="36" t="s">
        <v>54</v>
      </c>
      <c r="C229" s="36" t="s">
        <v>27</v>
      </c>
      <c r="D229" s="37">
        <v>0.583333333333333</v>
      </c>
      <c r="E229" s="37">
        <v>0.590277777777778</v>
      </c>
      <c r="F229" s="38" t="str">
        <f t="shared" si="1"/>
        <v>10</v>
      </c>
      <c r="G229" s="8"/>
      <c r="H229" s="14" t="str">
        <f t="shared" si="2"/>
        <v>29/05</v>
      </c>
      <c r="I229" s="15" t="str">
        <f t="shared" si="3"/>
        <v>Après-midi</v>
      </c>
    </row>
    <row r="230" ht="14.25" customHeight="1">
      <c r="A230" s="39">
        <v>46171.0</v>
      </c>
      <c r="B230" s="36" t="s">
        <v>67</v>
      </c>
      <c r="C230" s="36" t="s">
        <v>27</v>
      </c>
      <c r="D230" s="37">
        <v>0.625</v>
      </c>
      <c r="E230" s="37">
        <v>0.628472222222222</v>
      </c>
      <c r="F230" s="38" t="str">
        <f t="shared" si="1"/>
        <v>5</v>
      </c>
      <c r="G230" s="8"/>
      <c r="H230" s="14" t="str">
        <f t="shared" si="2"/>
        <v>29/05</v>
      </c>
      <c r="I230" s="15" t="str">
        <f t="shared" si="3"/>
        <v>Après-midi</v>
      </c>
    </row>
    <row r="231" ht="14.25" customHeight="1">
      <c r="A231" s="39">
        <v>46171.0</v>
      </c>
      <c r="B231" s="36" t="s">
        <v>67</v>
      </c>
      <c r="C231" s="36" t="s">
        <v>27</v>
      </c>
      <c r="D231" s="37">
        <v>0.75</v>
      </c>
      <c r="E231" s="37">
        <v>0.75625</v>
      </c>
      <c r="F231" s="38" t="str">
        <f t="shared" si="1"/>
        <v>9</v>
      </c>
      <c r="G231" s="8"/>
      <c r="H231" s="14" t="str">
        <f t="shared" si="2"/>
        <v>29/05</v>
      </c>
      <c r="I231" s="15" t="str">
        <f t="shared" si="3"/>
        <v>Après-midi</v>
      </c>
    </row>
    <row r="232" ht="14.25" customHeight="1">
      <c r="A232" s="39">
        <v>46171.0</v>
      </c>
      <c r="B232" s="36" t="s">
        <v>67</v>
      </c>
      <c r="C232" s="36" t="s">
        <v>27</v>
      </c>
      <c r="D232" s="37">
        <v>0.911805555555556</v>
      </c>
      <c r="E232" s="37">
        <v>0.915277777777778</v>
      </c>
      <c r="F232" s="38" t="str">
        <f t="shared" si="1"/>
        <v>5</v>
      </c>
      <c r="G232" s="8"/>
      <c r="H232" s="14" t="str">
        <f t="shared" si="2"/>
        <v>29/05</v>
      </c>
      <c r="I232" s="15" t="str">
        <f t="shared" si="3"/>
        <v>Après-midi</v>
      </c>
    </row>
    <row r="233" ht="14.25" customHeight="1">
      <c r="A233" s="39">
        <v>46171.0</v>
      </c>
      <c r="B233" s="36" t="s">
        <v>66</v>
      </c>
      <c r="C233" s="36" t="s">
        <v>27</v>
      </c>
      <c r="D233" s="37">
        <v>0.986111111111111</v>
      </c>
      <c r="E233" s="37">
        <v>0.989583333333333</v>
      </c>
      <c r="F233" s="38" t="str">
        <f t="shared" si="1"/>
        <v>5</v>
      </c>
      <c r="G233" s="8"/>
      <c r="H233" s="14" t="str">
        <f t="shared" si="2"/>
        <v>29/05</v>
      </c>
      <c r="I233" s="15" t="str">
        <f t="shared" si="3"/>
        <v>Nuit</v>
      </c>
    </row>
    <row r="234" ht="14.25" customHeight="1">
      <c r="A234" s="39">
        <v>46172.0</v>
      </c>
      <c r="B234" s="36" t="s">
        <v>66</v>
      </c>
      <c r="C234" s="36" t="s">
        <v>27</v>
      </c>
      <c r="D234" s="37">
        <v>0.0798611111111111</v>
      </c>
      <c r="E234" s="37">
        <v>0.0840277777777778</v>
      </c>
      <c r="F234" s="38" t="str">
        <f t="shared" si="1"/>
        <v>6</v>
      </c>
      <c r="G234" s="8"/>
      <c r="H234" s="14" t="str">
        <f t="shared" si="2"/>
        <v>29/05</v>
      </c>
      <c r="I234" s="15" t="str">
        <f t="shared" si="3"/>
        <v>Nuit</v>
      </c>
    </row>
    <row r="235" ht="14.25" customHeight="1">
      <c r="A235" s="39">
        <v>46172.0</v>
      </c>
      <c r="B235" s="36" t="s">
        <v>66</v>
      </c>
      <c r="C235" s="36" t="s">
        <v>27</v>
      </c>
      <c r="D235" s="37">
        <v>0.180555555555556</v>
      </c>
      <c r="E235" s="37">
        <v>0.184722222222222</v>
      </c>
      <c r="F235" s="38" t="str">
        <f t="shared" si="1"/>
        <v>6</v>
      </c>
      <c r="G235" s="8"/>
      <c r="H235" s="14" t="str">
        <f t="shared" si="2"/>
        <v>29/05</v>
      </c>
      <c r="I235" s="15" t="str">
        <f t="shared" si="3"/>
        <v>Nuit</v>
      </c>
    </row>
    <row r="236" ht="14.25" customHeight="1">
      <c r="A236" s="39">
        <v>46172.0</v>
      </c>
      <c r="B236" s="36" t="s">
        <v>66</v>
      </c>
      <c r="C236" s="36" t="s">
        <v>27</v>
      </c>
      <c r="D236" s="37">
        <v>0.190972222222222</v>
      </c>
      <c r="E236" s="37">
        <v>0.213194444444444</v>
      </c>
      <c r="F236" s="38" t="str">
        <f t="shared" si="1"/>
        <v>32</v>
      </c>
      <c r="G236" s="8"/>
      <c r="H236" s="14" t="str">
        <f t="shared" si="2"/>
        <v>29/05</v>
      </c>
      <c r="I236" s="15" t="str">
        <f t="shared" si="3"/>
        <v>Nuit</v>
      </c>
    </row>
    <row r="237" ht="14.25" customHeight="1">
      <c r="A237" s="39">
        <v>46172.0</v>
      </c>
      <c r="B237" s="36" t="s">
        <v>54</v>
      </c>
      <c r="C237" s="36" t="s">
        <v>27</v>
      </c>
      <c r="D237" s="37">
        <v>0.329861111111111</v>
      </c>
      <c r="E237" s="37">
        <v>0.335416666666667</v>
      </c>
      <c r="F237" s="38" t="str">
        <f t="shared" si="1"/>
        <v>8</v>
      </c>
      <c r="G237" s="8"/>
      <c r="H237" s="14" t="str">
        <f t="shared" si="2"/>
        <v>30/05</v>
      </c>
      <c r="I237" s="15" t="str">
        <f t="shared" si="3"/>
        <v>Matin</v>
      </c>
    </row>
    <row r="238" ht="14.25" customHeight="1">
      <c r="A238" s="39">
        <v>46172.0</v>
      </c>
      <c r="B238" s="36" t="s">
        <v>54</v>
      </c>
      <c r="C238" s="36" t="s">
        <v>27</v>
      </c>
      <c r="D238" s="37">
        <v>0.342361111111111</v>
      </c>
      <c r="E238" s="37">
        <v>0.352083333333333</v>
      </c>
      <c r="F238" s="38" t="str">
        <f t="shared" si="1"/>
        <v>14</v>
      </c>
      <c r="G238" s="8"/>
      <c r="H238" s="14" t="str">
        <f t="shared" si="2"/>
        <v>30/05</v>
      </c>
      <c r="I238" s="15" t="str">
        <f t="shared" si="3"/>
        <v>Matin</v>
      </c>
    </row>
    <row r="239" ht="14.25" customHeight="1">
      <c r="A239" s="39">
        <v>46172.0</v>
      </c>
      <c r="B239" s="36" t="s">
        <v>54</v>
      </c>
      <c r="C239" s="36" t="s">
        <v>27</v>
      </c>
      <c r="D239" s="37">
        <v>0.404861111111111</v>
      </c>
      <c r="E239" s="37">
        <v>0.413194444444444</v>
      </c>
      <c r="F239" s="38" t="str">
        <f t="shared" si="1"/>
        <v>12</v>
      </c>
      <c r="G239" s="8"/>
      <c r="H239" s="14" t="str">
        <f t="shared" si="2"/>
        <v>30/05</v>
      </c>
      <c r="I239" s="15" t="str">
        <f t="shared" si="3"/>
        <v>Matin</v>
      </c>
    </row>
    <row r="240" ht="14.25" customHeight="1">
      <c r="A240" s="39">
        <v>46172.0</v>
      </c>
      <c r="B240" s="36" t="s">
        <v>54</v>
      </c>
      <c r="C240" s="36" t="s">
        <v>27</v>
      </c>
      <c r="D240" s="37">
        <v>0.502083333333333</v>
      </c>
      <c r="E240" s="37">
        <v>0.506944444444444</v>
      </c>
      <c r="F240" s="38" t="str">
        <f t="shared" si="1"/>
        <v>7</v>
      </c>
      <c r="G240" s="8"/>
      <c r="H240" s="14" t="str">
        <f t="shared" si="2"/>
        <v>30/05</v>
      </c>
      <c r="I240" s="15" t="str">
        <f t="shared" si="3"/>
        <v>Matin</v>
      </c>
    </row>
    <row r="241" ht="14.25" customHeight="1">
      <c r="A241" s="39">
        <v>46172.0</v>
      </c>
      <c r="B241" s="36" t="s">
        <v>54</v>
      </c>
      <c r="C241" s="36" t="s">
        <v>27</v>
      </c>
      <c r="D241" s="37">
        <v>0.545138888888889</v>
      </c>
      <c r="E241" s="37">
        <v>0.555555555555556</v>
      </c>
      <c r="F241" s="38" t="str">
        <f t="shared" si="1"/>
        <v>15</v>
      </c>
      <c r="G241" s="8"/>
      <c r="H241" s="14" t="str">
        <f t="shared" si="2"/>
        <v>30/05</v>
      </c>
      <c r="I241" s="15" t="str">
        <f t="shared" si="3"/>
        <v>Matin</v>
      </c>
    </row>
    <row r="242" ht="14.25" customHeight="1">
      <c r="A242" s="39">
        <v>46172.0</v>
      </c>
      <c r="B242" s="36" t="s">
        <v>54</v>
      </c>
      <c r="C242" s="36" t="s">
        <v>27</v>
      </c>
      <c r="D242" s="37">
        <v>0.583333333333333</v>
      </c>
      <c r="E242" s="37">
        <v>0.586805555555556</v>
      </c>
      <c r="F242" s="38" t="str">
        <f t="shared" si="1"/>
        <v>5</v>
      </c>
      <c r="G242" s="8"/>
      <c r="H242" s="14" t="str">
        <f t="shared" si="2"/>
        <v>30/05</v>
      </c>
      <c r="I242" s="15" t="str">
        <f t="shared" si="3"/>
        <v>Après-midi</v>
      </c>
    </row>
    <row r="243" ht="14.25" customHeight="1">
      <c r="A243" s="39">
        <v>46172.0</v>
      </c>
      <c r="B243" s="36" t="s">
        <v>67</v>
      </c>
      <c r="C243" s="36" t="s">
        <v>27</v>
      </c>
      <c r="D243" s="37">
        <v>0.629166666666667</v>
      </c>
      <c r="E243" s="37">
        <v>0.634722222222222</v>
      </c>
      <c r="F243" s="38" t="str">
        <f t="shared" si="1"/>
        <v>8</v>
      </c>
      <c r="G243" s="8"/>
      <c r="H243" s="14" t="str">
        <f t="shared" si="2"/>
        <v>30/05</v>
      </c>
      <c r="I243" s="15" t="str">
        <f t="shared" si="3"/>
        <v>Après-midi</v>
      </c>
    </row>
    <row r="244" ht="14.25" customHeight="1">
      <c r="A244" s="39">
        <v>46172.0</v>
      </c>
      <c r="B244" s="36" t="s">
        <v>67</v>
      </c>
      <c r="C244" s="36" t="s">
        <v>27</v>
      </c>
      <c r="D244" s="37">
        <v>0.690277777777778</v>
      </c>
      <c r="E244" s="37">
        <v>0.695833333333333</v>
      </c>
      <c r="F244" s="38" t="str">
        <f t="shared" si="1"/>
        <v>8</v>
      </c>
      <c r="G244" s="8"/>
      <c r="H244" s="14" t="str">
        <f t="shared" si="2"/>
        <v>30/05</v>
      </c>
      <c r="I244" s="15" t="str">
        <f t="shared" si="3"/>
        <v>Après-midi</v>
      </c>
    </row>
    <row r="245" ht="14.25" customHeight="1">
      <c r="A245" s="39">
        <v>46172.0</v>
      </c>
      <c r="B245" s="36" t="s">
        <v>67</v>
      </c>
      <c r="C245" s="36" t="s">
        <v>27</v>
      </c>
      <c r="D245" s="37">
        <v>0.75</v>
      </c>
      <c r="E245" s="37">
        <v>0.755555555555556</v>
      </c>
      <c r="F245" s="38" t="str">
        <f t="shared" si="1"/>
        <v>8</v>
      </c>
      <c r="G245" s="8"/>
      <c r="H245" s="14" t="str">
        <f t="shared" si="2"/>
        <v>30/05</v>
      </c>
      <c r="I245" s="15" t="str">
        <f t="shared" si="3"/>
        <v>Après-midi</v>
      </c>
    </row>
    <row r="246" ht="14.25" customHeight="1">
      <c r="A246" s="39">
        <v>46172.0</v>
      </c>
      <c r="B246" s="36" t="s">
        <v>67</v>
      </c>
      <c r="C246" s="36" t="s">
        <v>27</v>
      </c>
      <c r="D246" s="37">
        <v>0.916666666666667</v>
      </c>
      <c r="E246" s="37">
        <v>0.922916666666667</v>
      </c>
      <c r="F246" s="38" t="str">
        <f t="shared" si="1"/>
        <v>9</v>
      </c>
      <c r="G246" s="8"/>
      <c r="H246" s="14" t="str">
        <f t="shared" si="2"/>
        <v>30/05</v>
      </c>
      <c r="I246" s="15" t="str">
        <f t="shared" si="3"/>
        <v>Nuit</v>
      </c>
    </row>
    <row r="247" ht="14.25" customHeight="1">
      <c r="A247" s="39">
        <v>46173.0</v>
      </c>
      <c r="B247" s="36" t="s">
        <v>66</v>
      </c>
      <c r="C247" s="36" t="s">
        <v>27</v>
      </c>
      <c r="D247" s="37">
        <v>0.155555555555556</v>
      </c>
      <c r="E247" s="37">
        <v>0.161111111111111</v>
      </c>
      <c r="F247" s="38" t="str">
        <f t="shared" si="1"/>
        <v>8</v>
      </c>
      <c r="G247" s="8"/>
      <c r="H247" s="14" t="str">
        <f t="shared" si="2"/>
        <v>30/05</v>
      </c>
      <c r="I247" s="15" t="str">
        <f t="shared" si="3"/>
        <v>Nuit</v>
      </c>
    </row>
    <row r="248" ht="14.25" customHeight="1">
      <c r="A248" s="39">
        <v>46173.0</v>
      </c>
      <c r="B248" s="36" t="s">
        <v>66</v>
      </c>
      <c r="C248" s="36" t="s">
        <v>27</v>
      </c>
      <c r="D248" s="37">
        <v>0.200694444444445</v>
      </c>
      <c r="E248" s="37">
        <v>0.20625</v>
      </c>
      <c r="F248" s="38" t="str">
        <f t="shared" si="1"/>
        <v>8</v>
      </c>
      <c r="G248" s="8"/>
      <c r="H248" s="14" t="str">
        <f t="shared" si="2"/>
        <v>30/05</v>
      </c>
      <c r="I248" s="15" t="str">
        <f t="shared" si="3"/>
        <v>Nuit</v>
      </c>
    </row>
    <row r="249" ht="14.25" customHeight="1">
      <c r="A249" s="39">
        <v>46173.0</v>
      </c>
      <c r="B249" s="36" t="s">
        <v>66</v>
      </c>
      <c r="C249" s="36" t="s">
        <v>27</v>
      </c>
      <c r="D249" s="37">
        <v>0.25</v>
      </c>
      <c r="E249" s="37">
        <v>0.254861111111111</v>
      </c>
      <c r="F249" s="38" t="str">
        <f t="shared" si="1"/>
        <v>7</v>
      </c>
      <c r="G249" s="8"/>
      <c r="H249" s="14" t="str">
        <f t="shared" si="2"/>
        <v>31/05</v>
      </c>
      <c r="I249" s="15" t="str">
        <f t="shared" si="3"/>
        <v>Matin</v>
      </c>
    </row>
    <row r="250" ht="14.25" customHeight="1">
      <c r="A250" s="39">
        <v>46173.0</v>
      </c>
      <c r="B250" s="36" t="s">
        <v>67</v>
      </c>
      <c r="C250" s="36" t="s">
        <v>27</v>
      </c>
      <c r="D250" s="37">
        <v>0.325</v>
      </c>
      <c r="E250" s="37">
        <v>0.33125</v>
      </c>
      <c r="F250" s="38" t="str">
        <f t="shared" si="1"/>
        <v>9</v>
      </c>
      <c r="G250" s="8"/>
      <c r="H250" s="14" t="str">
        <f t="shared" si="2"/>
        <v>31/05</v>
      </c>
      <c r="I250" s="15" t="str">
        <f t="shared" si="3"/>
        <v>Matin</v>
      </c>
    </row>
    <row r="251" ht="14.25" customHeight="1">
      <c r="A251" s="39">
        <v>46173.0</v>
      </c>
      <c r="B251" s="36" t="s">
        <v>67</v>
      </c>
      <c r="C251" s="36" t="s">
        <v>27</v>
      </c>
      <c r="D251" s="37">
        <v>0.395138888888889</v>
      </c>
      <c r="E251" s="37">
        <v>0.400694444444445</v>
      </c>
      <c r="F251" s="38" t="str">
        <f t="shared" si="1"/>
        <v>8</v>
      </c>
      <c r="G251" s="8"/>
      <c r="H251" s="14" t="str">
        <f t="shared" si="2"/>
        <v>31/05</v>
      </c>
      <c r="I251" s="15" t="str">
        <f t="shared" si="3"/>
        <v>Matin</v>
      </c>
    </row>
    <row r="252" ht="14.25" customHeight="1">
      <c r="A252" s="39">
        <v>46173.0</v>
      </c>
      <c r="B252" s="36" t="s">
        <v>54</v>
      </c>
      <c r="C252" s="36" t="s">
        <v>27</v>
      </c>
      <c r="D252" s="37">
        <v>0.701388888888889</v>
      </c>
      <c r="E252" s="37">
        <v>0.711111111111111</v>
      </c>
      <c r="F252" s="38" t="str">
        <f t="shared" si="1"/>
        <v>14</v>
      </c>
      <c r="G252" s="8"/>
      <c r="H252" s="14" t="str">
        <f t="shared" si="2"/>
        <v>31/05</v>
      </c>
      <c r="I252" s="15" t="str">
        <f t="shared" si="3"/>
        <v>Après-midi</v>
      </c>
    </row>
    <row r="253" ht="14.25" customHeight="1">
      <c r="A253" s="39">
        <v>46173.0</v>
      </c>
      <c r="B253" s="36" t="s">
        <v>54</v>
      </c>
      <c r="C253" s="36" t="s">
        <v>27</v>
      </c>
      <c r="D253" s="37">
        <v>0.729166666666667</v>
      </c>
      <c r="E253" s="37">
        <v>0.733333333333333</v>
      </c>
      <c r="F253" s="38" t="str">
        <f t="shared" si="1"/>
        <v>6</v>
      </c>
      <c r="G253" s="8"/>
      <c r="H253" s="14" t="str">
        <f t="shared" si="2"/>
        <v>31/05</v>
      </c>
      <c r="I253" s="15" t="str">
        <f t="shared" si="3"/>
        <v>Après-midi</v>
      </c>
    </row>
    <row r="254" ht="14.25" customHeight="1">
      <c r="A254" s="39">
        <v>46173.0</v>
      </c>
      <c r="B254" s="36" t="s">
        <v>54</v>
      </c>
      <c r="C254" s="36" t="s">
        <v>27</v>
      </c>
      <c r="D254" s="37">
        <v>0.895833333333333</v>
      </c>
      <c r="E254" s="37">
        <v>0.902777777777778</v>
      </c>
      <c r="F254" s="38" t="str">
        <f t="shared" si="1"/>
        <v>10</v>
      </c>
      <c r="G254" s="8"/>
      <c r="H254" s="14" t="str">
        <f t="shared" si="2"/>
        <v>31/05</v>
      </c>
      <c r="I254" s="15" t="str">
        <f t="shared" si="3"/>
        <v>Après-midi</v>
      </c>
    </row>
    <row r="255" ht="14.25" customHeight="1">
      <c r="A255" s="39">
        <v>46173.0</v>
      </c>
      <c r="B255" s="36" t="s">
        <v>54</v>
      </c>
      <c r="C255" s="36" t="s">
        <v>27</v>
      </c>
      <c r="D255" s="37">
        <v>0.916666666666667</v>
      </c>
      <c r="E255" s="37">
        <v>0.917361111111111</v>
      </c>
      <c r="F255" s="38" t="str">
        <f t="shared" si="1"/>
        <v>1</v>
      </c>
      <c r="G255" s="8"/>
      <c r="H255" s="14" t="str">
        <f t="shared" si="2"/>
        <v>31/05</v>
      </c>
      <c r="I255" s="15" t="str">
        <f t="shared" si="3"/>
        <v>Nuit</v>
      </c>
    </row>
    <row r="256" ht="14.25" customHeight="1">
      <c r="A256" s="39">
        <v>46174.0</v>
      </c>
      <c r="B256" s="36" t="s">
        <v>66</v>
      </c>
      <c r="C256" s="36" t="s">
        <v>27</v>
      </c>
      <c r="D256" s="37">
        <v>0.166666666666667</v>
      </c>
      <c r="E256" s="37">
        <v>0.174305555555556</v>
      </c>
      <c r="F256" s="38" t="str">
        <f t="shared" si="1"/>
        <v>11</v>
      </c>
      <c r="G256" s="8"/>
      <c r="H256" s="14" t="str">
        <f t="shared" si="2"/>
        <v>31/05</v>
      </c>
      <c r="I256" s="15" t="str">
        <f t="shared" si="3"/>
        <v>Nuit</v>
      </c>
    </row>
    <row r="257" ht="14.25" customHeight="1">
      <c r="A257" s="39">
        <v>46174.0</v>
      </c>
      <c r="B257" s="36" t="s">
        <v>66</v>
      </c>
      <c r="C257" s="36" t="s">
        <v>27</v>
      </c>
      <c r="D257" s="37">
        <v>0.25</v>
      </c>
      <c r="E257" s="37">
        <v>0.252083333333333</v>
      </c>
      <c r="F257" s="38" t="str">
        <f t="shared" si="1"/>
        <v>3</v>
      </c>
      <c r="G257" s="8"/>
      <c r="H257" s="14" t="str">
        <f t="shared" si="2"/>
        <v>01/06</v>
      </c>
      <c r="I257" s="15" t="str">
        <f t="shared" si="3"/>
        <v>Matin</v>
      </c>
    </row>
    <row r="258" ht="14.25" customHeight="1">
      <c r="A258" s="39">
        <v>46174.0</v>
      </c>
      <c r="B258" s="36" t="s">
        <v>67</v>
      </c>
      <c r="C258" s="36" t="s">
        <v>27</v>
      </c>
      <c r="D258" s="37">
        <v>0.297916666666667</v>
      </c>
      <c r="E258" s="37">
        <v>0.305555555555556</v>
      </c>
      <c r="F258" s="38" t="str">
        <f t="shared" si="1"/>
        <v>11</v>
      </c>
      <c r="G258" s="8"/>
      <c r="H258" s="14" t="str">
        <f t="shared" si="2"/>
        <v>01/06</v>
      </c>
      <c r="I258" s="15" t="str">
        <f t="shared" si="3"/>
        <v>Matin</v>
      </c>
    </row>
    <row r="259" ht="14.25" customHeight="1">
      <c r="A259" s="39">
        <v>46174.0</v>
      </c>
      <c r="B259" s="36" t="s">
        <v>67</v>
      </c>
      <c r="C259" s="36" t="s">
        <v>27</v>
      </c>
      <c r="D259" s="37">
        <v>0.375</v>
      </c>
      <c r="E259" s="37">
        <v>0.382638888888889</v>
      </c>
      <c r="F259" s="38" t="str">
        <f t="shared" si="1"/>
        <v>11</v>
      </c>
      <c r="G259" s="8"/>
      <c r="H259" s="14" t="str">
        <f t="shared" si="2"/>
        <v>01/06</v>
      </c>
      <c r="I259" s="15" t="str">
        <f t="shared" si="3"/>
        <v>Matin</v>
      </c>
    </row>
    <row r="260" ht="14.25" customHeight="1">
      <c r="A260" s="39">
        <v>46174.0</v>
      </c>
      <c r="B260" s="36" t="s">
        <v>67</v>
      </c>
      <c r="C260" s="36" t="s">
        <v>27</v>
      </c>
      <c r="D260" s="37">
        <v>0.523611111111111</v>
      </c>
      <c r="E260" s="37">
        <v>0.528472222222222</v>
      </c>
      <c r="F260" s="38" t="str">
        <f t="shared" si="1"/>
        <v>7</v>
      </c>
      <c r="G260" s="8"/>
      <c r="H260" s="14" t="str">
        <f t="shared" si="2"/>
        <v>01/06</v>
      </c>
      <c r="I260" s="15" t="str">
        <f t="shared" si="3"/>
        <v>Matin</v>
      </c>
    </row>
    <row r="261" ht="14.25" customHeight="1">
      <c r="A261" s="39">
        <v>46174.0</v>
      </c>
      <c r="B261" s="36" t="s">
        <v>67</v>
      </c>
      <c r="C261" s="36" t="s">
        <v>27</v>
      </c>
      <c r="D261" s="37">
        <v>0.551388888888889</v>
      </c>
      <c r="E261" s="37">
        <v>0.559027777777778</v>
      </c>
      <c r="F261" s="38" t="str">
        <f t="shared" si="1"/>
        <v>11</v>
      </c>
      <c r="G261" s="8"/>
      <c r="H261" s="14" t="str">
        <f t="shared" si="2"/>
        <v>01/06</v>
      </c>
      <c r="I261" s="15" t="str">
        <f t="shared" si="3"/>
        <v>Matin</v>
      </c>
    </row>
    <row r="262" ht="14.25" customHeight="1">
      <c r="A262" s="39">
        <v>46174.0</v>
      </c>
      <c r="B262" s="36" t="s">
        <v>54</v>
      </c>
      <c r="C262" s="36" t="s">
        <v>27</v>
      </c>
      <c r="D262" s="37">
        <v>0.645833333333333</v>
      </c>
      <c r="E262" s="37">
        <v>0.65625</v>
      </c>
      <c r="F262" s="38" t="str">
        <f t="shared" si="1"/>
        <v>15</v>
      </c>
      <c r="G262" s="8"/>
      <c r="H262" s="14" t="str">
        <f t="shared" si="2"/>
        <v>01/06</v>
      </c>
      <c r="I262" s="15" t="str">
        <f t="shared" si="3"/>
        <v>Après-midi</v>
      </c>
    </row>
    <row r="263" ht="14.25" customHeight="1">
      <c r="A263" s="39">
        <v>46174.0</v>
      </c>
      <c r="B263" s="36" t="s">
        <v>54</v>
      </c>
      <c r="C263" s="36" t="s">
        <v>27</v>
      </c>
      <c r="D263" s="37">
        <v>0.684722222222222</v>
      </c>
      <c r="E263" s="37">
        <v>0.688888888888889</v>
      </c>
      <c r="F263" s="38" t="str">
        <f t="shared" si="1"/>
        <v>6</v>
      </c>
      <c r="G263" s="8"/>
      <c r="H263" s="14" t="str">
        <f t="shared" si="2"/>
        <v>01/06</v>
      </c>
      <c r="I263" s="15" t="str">
        <f t="shared" si="3"/>
        <v>Après-midi</v>
      </c>
    </row>
    <row r="264" ht="14.25" customHeight="1">
      <c r="A264" s="39">
        <v>46174.0</v>
      </c>
      <c r="B264" s="36" t="s">
        <v>54</v>
      </c>
      <c r="C264" s="36" t="s">
        <v>27</v>
      </c>
      <c r="D264" s="37">
        <v>0.76875</v>
      </c>
      <c r="E264" s="37">
        <v>0.8125</v>
      </c>
      <c r="F264" s="38" t="str">
        <f t="shared" si="1"/>
        <v>63</v>
      </c>
      <c r="G264" s="8"/>
      <c r="H264" s="14" t="str">
        <f t="shared" si="2"/>
        <v>01/06</v>
      </c>
      <c r="I264" s="15" t="str">
        <f t="shared" si="3"/>
        <v>Après-midi</v>
      </c>
    </row>
    <row r="265" ht="14.25" customHeight="1">
      <c r="A265" s="39">
        <v>46174.0</v>
      </c>
      <c r="B265" s="36" t="s">
        <v>54</v>
      </c>
      <c r="C265" s="36" t="s">
        <v>27</v>
      </c>
      <c r="D265" s="37">
        <v>0.916666666666667</v>
      </c>
      <c r="E265" s="37">
        <v>0.924305555555556</v>
      </c>
      <c r="F265" s="38" t="str">
        <f t="shared" si="1"/>
        <v>11</v>
      </c>
      <c r="G265" s="8"/>
      <c r="H265" s="14" t="str">
        <f t="shared" si="2"/>
        <v>01/06</v>
      </c>
      <c r="I265" s="15" t="str">
        <f t="shared" si="3"/>
        <v>Nuit</v>
      </c>
    </row>
    <row r="266" ht="14.25" customHeight="1">
      <c r="A266" s="39">
        <v>46175.0</v>
      </c>
      <c r="B266" s="36" t="s">
        <v>66</v>
      </c>
      <c r="C266" s="36" t="s">
        <v>27</v>
      </c>
      <c r="D266" s="37">
        <v>0.0972222222222222</v>
      </c>
      <c r="E266" s="37">
        <v>0.115972222222222</v>
      </c>
      <c r="F266" s="38" t="str">
        <f t="shared" si="1"/>
        <v>27</v>
      </c>
      <c r="G266" s="8"/>
      <c r="H266" s="14" t="str">
        <f t="shared" si="2"/>
        <v>01/06</v>
      </c>
      <c r="I266" s="15" t="str">
        <f t="shared" si="3"/>
        <v>Nuit</v>
      </c>
    </row>
    <row r="267" ht="14.25" customHeight="1">
      <c r="A267" s="39">
        <v>46175.0</v>
      </c>
      <c r="B267" s="36" t="s">
        <v>66</v>
      </c>
      <c r="C267" s="36" t="s">
        <v>27</v>
      </c>
      <c r="D267" s="37">
        <v>0.199305555555556</v>
      </c>
      <c r="E267" s="37">
        <v>0.222222222222222</v>
      </c>
      <c r="F267" s="38" t="str">
        <f t="shared" si="1"/>
        <v>33</v>
      </c>
      <c r="G267" s="8"/>
      <c r="H267" s="14" t="str">
        <f t="shared" si="2"/>
        <v>01/06</v>
      </c>
      <c r="I267" s="15" t="str">
        <f t="shared" si="3"/>
        <v>Nuit</v>
      </c>
    </row>
    <row r="268" ht="14.25" customHeight="1">
      <c r="A268" s="39">
        <v>46175.0</v>
      </c>
      <c r="B268" s="36" t="s">
        <v>66</v>
      </c>
      <c r="C268" s="36" t="s">
        <v>27</v>
      </c>
      <c r="D268" s="37">
        <v>0.25</v>
      </c>
      <c r="E268" s="37">
        <v>0.252777777777778</v>
      </c>
      <c r="F268" s="38" t="str">
        <f t="shared" si="1"/>
        <v>4</v>
      </c>
      <c r="G268" s="8"/>
      <c r="H268" s="14" t="str">
        <f t="shared" si="2"/>
        <v>02/06</v>
      </c>
      <c r="I268" s="15" t="str">
        <f t="shared" si="3"/>
        <v>Matin</v>
      </c>
    </row>
    <row r="269" ht="14.25" customHeight="1">
      <c r="A269" s="39">
        <v>46175.0</v>
      </c>
      <c r="B269" s="36" t="s">
        <v>67</v>
      </c>
      <c r="C269" s="36" t="s">
        <v>27</v>
      </c>
      <c r="D269" s="37">
        <v>0.291666666666667</v>
      </c>
      <c r="E269" s="37">
        <v>0.296527777777778</v>
      </c>
      <c r="F269" s="38" t="str">
        <f t="shared" si="1"/>
        <v>7</v>
      </c>
      <c r="G269" s="8"/>
      <c r="H269" s="14" t="str">
        <f t="shared" si="2"/>
        <v>02/06</v>
      </c>
      <c r="I269" s="15" t="str">
        <f t="shared" si="3"/>
        <v>Matin</v>
      </c>
    </row>
    <row r="270" ht="14.25" customHeight="1">
      <c r="A270" s="39">
        <v>46175.0</v>
      </c>
      <c r="B270" s="36" t="s">
        <v>67</v>
      </c>
      <c r="C270" s="36" t="s">
        <v>27</v>
      </c>
      <c r="D270" s="37">
        <v>0.360416666666667</v>
      </c>
      <c r="E270" s="37">
        <v>0.366666666666667</v>
      </c>
      <c r="F270" s="38" t="str">
        <f t="shared" si="1"/>
        <v>9</v>
      </c>
      <c r="G270" s="8"/>
      <c r="H270" s="14" t="str">
        <f t="shared" si="2"/>
        <v>02/06</v>
      </c>
      <c r="I270" s="15" t="str">
        <f t="shared" si="3"/>
        <v>Matin</v>
      </c>
    </row>
    <row r="271" ht="14.25" customHeight="1">
      <c r="A271" s="39">
        <v>46175.0</v>
      </c>
      <c r="B271" s="36" t="s">
        <v>67</v>
      </c>
      <c r="C271" s="36" t="s">
        <v>27</v>
      </c>
      <c r="D271" s="37">
        <v>0.461805555555556</v>
      </c>
      <c r="E271" s="37">
        <v>0.465277777777778</v>
      </c>
      <c r="F271" s="38" t="str">
        <f t="shared" si="1"/>
        <v>5</v>
      </c>
      <c r="G271" s="8"/>
      <c r="H271" s="14" t="str">
        <f t="shared" si="2"/>
        <v>02/06</v>
      </c>
      <c r="I271" s="15" t="str">
        <f t="shared" si="3"/>
        <v>Matin</v>
      </c>
    </row>
    <row r="272" ht="14.25" customHeight="1">
      <c r="A272" s="39">
        <v>46175.0</v>
      </c>
      <c r="B272" s="36" t="s">
        <v>54</v>
      </c>
      <c r="C272" s="36" t="s">
        <v>27</v>
      </c>
      <c r="D272" s="37">
        <v>0.695833333333333</v>
      </c>
      <c r="E272" s="37">
        <v>0.703472222222222</v>
      </c>
      <c r="F272" s="38" t="str">
        <f t="shared" si="1"/>
        <v>11</v>
      </c>
      <c r="G272" s="8"/>
      <c r="H272" s="14" t="str">
        <f t="shared" si="2"/>
        <v>02/06</v>
      </c>
      <c r="I272" s="15" t="str">
        <f t="shared" si="3"/>
        <v>Après-midi</v>
      </c>
    </row>
    <row r="273" ht="14.25" customHeight="1">
      <c r="A273" s="39">
        <v>46175.0</v>
      </c>
      <c r="B273" s="36" t="s">
        <v>54</v>
      </c>
      <c r="C273" s="36" t="s">
        <v>27</v>
      </c>
      <c r="D273" s="37">
        <v>0.8125</v>
      </c>
      <c r="E273" s="37">
        <v>0.819444444444444</v>
      </c>
      <c r="F273" s="38" t="str">
        <f t="shared" si="1"/>
        <v>10</v>
      </c>
      <c r="G273" s="8"/>
      <c r="H273" s="14" t="str">
        <f t="shared" si="2"/>
        <v>02/06</v>
      </c>
      <c r="I273" s="15" t="str">
        <f t="shared" si="3"/>
        <v>Après-midi</v>
      </c>
    </row>
    <row r="274" ht="14.25" customHeight="1">
      <c r="A274" s="39">
        <v>46175.0</v>
      </c>
      <c r="B274" s="36" t="s">
        <v>54</v>
      </c>
      <c r="C274" s="36" t="s">
        <v>27</v>
      </c>
      <c r="D274" s="37">
        <v>0.916666666666667</v>
      </c>
      <c r="E274" s="37">
        <v>0.923611111111111</v>
      </c>
      <c r="F274" s="38" t="str">
        <f t="shared" si="1"/>
        <v>10</v>
      </c>
      <c r="G274" s="8"/>
      <c r="H274" s="14" t="str">
        <f t="shared" si="2"/>
        <v>02/06</v>
      </c>
      <c r="I274" s="15" t="str">
        <f t="shared" si="3"/>
        <v>Nuit</v>
      </c>
    </row>
    <row r="275" ht="14.25" customHeight="1">
      <c r="A275" s="39">
        <v>46176.0</v>
      </c>
      <c r="B275" s="36" t="s">
        <v>66</v>
      </c>
      <c r="C275" s="36" t="s">
        <v>27</v>
      </c>
      <c r="D275" s="37">
        <v>0.0597222222222222</v>
      </c>
      <c r="E275" s="37">
        <v>0.0652777777777778</v>
      </c>
      <c r="F275" s="38" t="str">
        <f t="shared" si="1"/>
        <v>8</v>
      </c>
      <c r="G275" s="8"/>
      <c r="H275" s="14" t="str">
        <f t="shared" si="2"/>
        <v>02/06</v>
      </c>
      <c r="I275" s="15" t="str">
        <f t="shared" si="3"/>
        <v>Nuit</v>
      </c>
    </row>
    <row r="276" ht="14.25" customHeight="1">
      <c r="A276" s="39">
        <v>46176.0</v>
      </c>
      <c r="B276" s="36" t="s">
        <v>66</v>
      </c>
      <c r="C276" s="36" t="s">
        <v>27</v>
      </c>
      <c r="D276" s="37">
        <v>0.138194444444445</v>
      </c>
      <c r="E276" s="37">
        <v>0.144444444444444</v>
      </c>
      <c r="F276" s="38" t="str">
        <f t="shared" si="1"/>
        <v>9</v>
      </c>
      <c r="G276" s="8"/>
      <c r="H276" s="14" t="str">
        <f t="shared" si="2"/>
        <v>02/06</v>
      </c>
      <c r="I276" s="15" t="str">
        <f t="shared" si="3"/>
        <v>Nuit</v>
      </c>
    </row>
    <row r="277" ht="14.25" customHeight="1">
      <c r="A277" s="39">
        <v>46176.0</v>
      </c>
      <c r="B277" s="36" t="s">
        <v>66</v>
      </c>
      <c r="C277" s="36" t="s">
        <v>27</v>
      </c>
      <c r="D277" s="37">
        <v>0.180555555555556</v>
      </c>
      <c r="E277" s="37">
        <v>0.186111111111111</v>
      </c>
      <c r="F277" s="38" t="str">
        <f t="shared" si="1"/>
        <v>8</v>
      </c>
      <c r="G277" s="8"/>
      <c r="H277" s="14" t="str">
        <f t="shared" si="2"/>
        <v>02/06</v>
      </c>
      <c r="I277" s="15" t="str">
        <f t="shared" si="3"/>
        <v>Nuit</v>
      </c>
    </row>
    <row r="278" ht="14.25" customHeight="1">
      <c r="A278" s="39">
        <v>46176.0</v>
      </c>
      <c r="B278" s="36" t="s">
        <v>66</v>
      </c>
      <c r="C278" s="36" t="s">
        <v>27</v>
      </c>
      <c r="D278" s="37">
        <v>0.25</v>
      </c>
      <c r="E278" s="37">
        <v>0.334722222222222</v>
      </c>
      <c r="F278" s="38" t="str">
        <f t="shared" si="1"/>
        <v>122</v>
      </c>
      <c r="G278" s="8"/>
      <c r="H278" s="14" t="str">
        <f t="shared" si="2"/>
        <v>03/06</v>
      </c>
      <c r="I278" s="15" t="str">
        <f t="shared" si="3"/>
        <v>Matin</v>
      </c>
    </row>
    <row r="279" ht="14.25" customHeight="1">
      <c r="A279" s="39">
        <v>46176.0</v>
      </c>
      <c r="B279" s="36" t="s">
        <v>67</v>
      </c>
      <c r="C279" s="36" t="s">
        <v>27</v>
      </c>
      <c r="D279" s="37">
        <v>0.4625</v>
      </c>
      <c r="E279" s="37">
        <v>0.466666666666667</v>
      </c>
      <c r="F279" s="38" t="str">
        <f t="shared" si="1"/>
        <v>6</v>
      </c>
      <c r="G279" s="8"/>
      <c r="H279" s="14" t="str">
        <f t="shared" si="2"/>
        <v>03/06</v>
      </c>
      <c r="I279" s="15" t="str">
        <f t="shared" si="3"/>
        <v>Matin</v>
      </c>
    </row>
    <row r="280" ht="14.25" customHeight="1">
      <c r="A280" s="39">
        <v>46176.0</v>
      </c>
      <c r="B280" s="36" t="s">
        <v>54</v>
      </c>
      <c r="C280" s="36" t="s">
        <v>27</v>
      </c>
      <c r="D280" s="37">
        <v>0.668055555555556</v>
      </c>
      <c r="E280" s="37">
        <v>0.673611111111111</v>
      </c>
      <c r="F280" s="38" t="str">
        <f t="shared" si="1"/>
        <v>8</v>
      </c>
      <c r="G280" s="8"/>
      <c r="H280" s="14" t="str">
        <f t="shared" si="2"/>
        <v>03/06</v>
      </c>
      <c r="I280" s="15" t="str">
        <f t="shared" si="3"/>
        <v>Après-midi</v>
      </c>
    </row>
    <row r="281" ht="14.25" customHeight="1">
      <c r="A281" s="39">
        <v>46176.0</v>
      </c>
      <c r="B281" s="36" t="s">
        <v>54</v>
      </c>
      <c r="C281" s="36" t="s">
        <v>27</v>
      </c>
      <c r="D281" s="37">
        <v>0.729861111111111</v>
      </c>
      <c r="E281" s="37">
        <v>0.734027777777778</v>
      </c>
      <c r="F281" s="38" t="str">
        <f t="shared" si="1"/>
        <v>6</v>
      </c>
      <c r="G281" s="8"/>
      <c r="H281" s="14" t="str">
        <f t="shared" si="2"/>
        <v>03/06</v>
      </c>
      <c r="I281" s="15" t="str">
        <f t="shared" si="3"/>
        <v>Après-midi</v>
      </c>
    </row>
    <row r="282" ht="14.25" customHeight="1">
      <c r="A282" s="39">
        <v>46176.0</v>
      </c>
      <c r="B282" s="36" t="s">
        <v>54</v>
      </c>
      <c r="C282" s="36" t="s">
        <v>27</v>
      </c>
      <c r="D282" s="37">
        <v>0.856944444444444</v>
      </c>
      <c r="E282" s="37">
        <v>0.860416666666667</v>
      </c>
      <c r="F282" s="38" t="str">
        <f t="shared" si="1"/>
        <v>5</v>
      </c>
      <c r="G282" s="8"/>
      <c r="H282" s="14" t="str">
        <f t="shared" si="2"/>
        <v>03/06</v>
      </c>
      <c r="I282" s="15" t="str">
        <f t="shared" si="3"/>
        <v>Après-midi</v>
      </c>
    </row>
    <row r="283" ht="14.25" customHeight="1">
      <c r="A283" s="39">
        <v>46176.0</v>
      </c>
      <c r="B283" s="36" t="s">
        <v>54</v>
      </c>
      <c r="C283" s="36" t="s">
        <v>27</v>
      </c>
      <c r="D283" s="37">
        <v>0.916666666666667</v>
      </c>
      <c r="E283" s="37">
        <v>0.921527777777778</v>
      </c>
      <c r="F283" s="38" t="str">
        <f t="shared" si="1"/>
        <v>7</v>
      </c>
      <c r="G283" s="8"/>
      <c r="H283" s="14" t="str">
        <f t="shared" si="2"/>
        <v>03/06</v>
      </c>
      <c r="I283" s="15" t="str">
        <f t="shared" si="3"/>
        <v>Nuit</v>
      </c>
    </row>
    <row r="284" ht="14.25" customHeight="1">
      <c r="A284" s="39">
        <v>46177.0</v>
      </c>
      <c r="B284" s="36" t="s">
        <v>66</v>
      </c>
      <c r="C284" s="36" t="s">
        <v>27</v>
      </c>
      <c r="D284" s="37">
        <v>0.0333333333333333</v>
      </c>
      <c r="E284" s="37">
        <v>0.0409722222222222</v>
      </c>
      <c r="F284" s="38" t="str">
        <f t="shared" si="1"/>
        <v>11</v>
      </c>
      <c r="G284" s="8"/>
      <c r="H284" s="14" t="str">
        <f t="shared" si="2"/>
        <v>03/06</v>
      </c>
      <c r="I284" s="15" t="str">
        <f t="shared" si="3"/>
        <v>Nuit</v>
      </c>
    </row>
    <row r="285" ht="14.25" customHeight="1">
      <c r="A285" s="39">
        <v>46177.0</v>
      </c>
      <c r="B285" s="36" t="s">
        <v>66</v>
      </c>
      <c r="C285" s="36" t="s">
        <v>27</v>
      </c>
      <c r="D285" s="37">
        <v>0.145833333333333</v>
      </c>
      <c r="E285" s="37">
        <v>0.152777777777778</v>
      </c>
      <c r="F285" s="38" t="str">
        <f t="shared" si="1"/>
        <v>10</v>
      </c>
      <c r="G285" s="8"/>
      <c r="H285" s="14" t="str">
        <f t="shared" si="2"/>
        <v>03/06</v>
      </c>
      <c r="I285" s="15" t="str">
        <f t="shared" si="3"/>
        <v>Nuit</v>
      </c>
    </row>
    <row r="286" ht="14.25" customHeight="1">
      <c r="A286" s="39">
        <v>46177.0</v>
      </c>
      <c r="B286" s="36" t="s">
        <v>66</v>
      </c>
      <c r="C286" s="36" t="s">
        <v>27</v>
      </c>
      <c r="D286" s="37">
        <v>0.178472222222222</v>
      </c>
      <c r="E286" s="37">
        <v>0.184027777777778</v>
      </c>
      <c r="F286" s="38" t="str">
        <f t="shared" si="1"/>
        <v>8</v>
      </c>
      <c r="G286" s="8"/>
      <c r="H286" s="14" t="str">
        <f t="shared" si="2"/>
        <v>03/06</v>
      </c>
      <c r="I286" s="15" t="str">
        <f t="shared" si="3"/>
        <v>Nuit</v>
      </c>
    </row>
    <row r="287" ht="14.25" customHeight="1">
      <c r="A287" s="39">
        <v>46177.0</v>
      </c>
      <c r="B287" s="36" t="s">
        <v>67</v>
      </c>
      <c r="C287" s="36" t="s">
        <v>27</v>
      </c>
      <c r="D287" s="37">
        <v>0.311111111111111</v>
      </c>
      <c r="E287" s="37">
        <v>0.316666666666667</v>
      </c>
      <c r="F287" s="38" t="str">
        <f t="shared" si="1"/>
        <v>8</v>
      </c>
      <c r="G287" s="8"/>
      <c r="H287" s="14" t="str">
        <f t="shared" si="2"/>
        <v>04/06</v>
      </c>
      <c r="I287" s="15" t="str">
        <f t="shared" si="3"/>
        <v>Matin</v>
      </c>
    </row>
    <row r="288" ht="14.25" customHeight="1">
      <c r="A288" s="39">
        <v>46177.0</v>
      </c>
      <c r="B288" s="36" t="s">
        <v>67</v>
      </c>
      <c r="C288" s="36" t="s">
        <v>27</v>
      </c>
      <c r="D288" s="37">
        <v>0.461805555555556</v>
      </c>
      <c r="E288" s="37">
        <v>0.466666666666667</v>
      </c>
      <c r="F288" s="38" t="str">
        <f t="shared" si="1"/>
        <v>7</v>
      </c>
      <c r="G288" s="8"/>
      <c r="H288" s="14" t="str">
        <f t="shared" si="2"/>
        <v>04/06</v>
      </c>
      <c r="I288" s="15" t="str">
        <f t="shared" si="3"/>
        <v>Matin</v>
      </c>
    </row>
    <row r="289" ht="14.25" customHeight="1">
      <c r="A289" s="39">
        <v>46177.0</v>
      </c>
      <c r="B289" s="36" t="s">
        <v>54</v>
      </c>
      <c r="C289" s="36" t="s">
        <v>27</v>
      </c>
      <c r="D289" s="37">
        <v>0.642361111111111</v>
      </c>
      <c r="E289" s="37">
        <v>0.652777777777778</v>
      </c>
      <c r="F289" s="38" t="str">
        <f t="shared" si="1"/>
        <v>15</v>
      </c>
      <c r="G289" s="8"/>
      <c r="H289" s="14" t="str">
        <f t="shared" si="2"/>
        <v>04/06</v>
      </c>
      <c r="I289" s="15" t="str">
        <f t="shared" si="3"/>
        <v>Après-midi</v>
      </c>
    </row>
    <row r="290" ht="14.25" customHeight="1">
      <c r="A290" s="39">
        <v>46177.0</v>
      </c>
      <c r="B290" s="36" t="s">
        <v>54</v>
      </c>
      <c r="C290" s="36" t="s">
        <v>27</v>
      </c>
      <c r="D290" s="37">
        <v>0.710416666666667</v>
      </c>
      <c r="E290" s="37">
        <v>0.715277777777778</v>
      </c>
      <c r="F290" s="38" t="str">
        <f t="shared" si="1"/>
        <v>7</v>
      </c>
      <c r="G290" s="8"/>
      <c r="H290" s="14" t="str">
        <f t="shared" si="2"/>
        <v>04/06</v>
      </c>
      <c r="I290" s="15" t="str">
        <f t="shared" si="3"/>
        <v>Après-midi</v>
      </c>
    </row>
    <row r="291" ht="14.25" customHeight="1">
      <c r="A291" s="39">
        <v>46177.0</v>
      </c>
      <c r="B291" s="36" t="s">
        <v>54</v>
      </c>
      <c r="C291" s="36" t="s">
        <v>27</v>
      </c>
      <c r="D291" s="37">
        <v>0.854166666666667</v>
      </c>
      <c r="E291" s="37">
        <v>0.868055555555556</v>
      </c>
      <c r="F291" s="38" t="str">
        <f t="shared" si="1"/>
        <v>20</v>
      </c>
      <c r="G291" s="8"/>
      <c r="H291" s="14" t="str">
        <f t="shared" si="2"/>
        <v>04/06</v>
      </c>
      <c r="I291" s="15" t="str">
        <f t="shared" si="3"/>
        <v>Après-midi</v>
      </c>
    </row>
    <row r="292" ht="14.25" customHeight="1">
      <c r="A292" s="39">
        <v>46177.0</v>
      </c>
      <c r="B292" s="36" t="s">
        <v>66</v>
      </c>
      <c r="C292" s="36" t="s">
        <v>27</v>
      </c>
      <c r="D292" s="37">
        <v>0.965277777777778</v>
      </c>
      <c r="E292" s="37">
        <v>0.96875</v>
      </c>
      <c r="F292" s="38" t="str">
        <f t="shared" si="1"/>
        <v>5</v>
      </c>
      <c r="G292" s="8"/>
      <c r="H292" s="14" t="str">
        <f t="shared" si="2"/>
        <v>04/06</v>
      </c>
      <c r="I292" s="15" t="str">
        <f t="shared" si="3"/>
        <v>Nuit</v>
      </c>
    </row>
    <row r="293" ht="14.25" customHeight="1">
      <c r="A293" s="39">
        <v>46177.0</v>
      </c>
      <c r="B293" s="36" t="s">
        <v>66</v>
      </c>
      <c r="C293" s="36" t="s">
        <v>27</v>
      </c>
      <c r="D293" s="37">
        <v>0.986805555555556</v>
      </c>
      <c r="E293" s="37">
        <v>0.991666666666667</v>
      </c>
      <c r="F293" s="38" t="str">
        <f t="shared" si="1"/>
        <v>7</v>
      </c>
      <c r="G293" s="8"/>
      <c r="H293" s="14" t="str">
        <f t="shared" si="2"/>
        <v>04/06</v>
      </c>
      <c r="I293" s="15" t="str">
        <f t="shared" si="3"/>
        <v>Nuit</v>
      </c>
    </row>
    <row r="294" ht="14.25" customHeight="1">
      <c r="A294" s="39">
        <v>46178.0</v>
      </c>
      <c r="B294" s="36" t="s">
        <v>66</v>
      </c>
      <c r="C294" s="36" t="s">
        <v>27</v>
      </c>
      <c r="D294" s="37">
        <v>0.19375</v>
      </c>
      <c r="E294" s="37">
        <v>0.201388888888889</v>
      </c>
      <c r="F294" s="38" t="str">
        <f t="shared" si="1"/>
        <v>11</v>
      </c>
      <c r="G294" s="8"/>
      <c r="H294" s="14" t="str">
        <f t="shared" si="2"/>
        <v>04/06</v>
      </c>
      <c r="I294" s="15" t="str">
        <f t="shared" si="3"/>
        <v>Nuit</v>
      </c>
    </row>
    <row r="295" ht="14.25" customHeight="1">
      <c r="A295" s="39">
        <v>46179.0</v>
      </c>
      <c r="B295" s="36" t="s">
        <v>54</v>
      </c>
      <c r="C295" s="36" t="s">
        <v>27</v>
      </c>
      <c r="D295" s="37">
        <v>0.670833333333333</v>
      </c>
      <c r="E295" s="37">
        <v>0.677083333333333</v>
      </c>
      <c r="F295" s="38" t="str">
        <f t="shared" si="1"/>
        <v>9</v>
      </c>
      <c r="G295" s="8"/>
      <c r="H295" s="14" t="str">
        <f t="shared" si="2"/>
        <v>06/06</v>
      </c>
      <c r="I295" s="15" t="str">
        <f t="shared" si="3"/>
        <v>Après-midi</v>
      </c>
    </row>
    <row r="296" ht="14.25" customHeight="1">
      <c r="A296" s="39">
        <v>46179.0</v>
      </c>
      <c r="B296" s="36" t="s">
        <v>54</v>
      </c>
      <c r="C296" s="36" t="s">
        <v>27</v>
      </c>
      <c r="D296" s="37">
        <v>0.754166666666667</v>
      </c>
      <c r="E296" s="37">
        <v>0.760416666666667</v>
      </c>
      <c r="F296" s="38" t="str">
        <f t="shared" si="1"/>
        <v>9</v>
      </c>
      <c r="G296" s="8"/>
      <c r="H296" s="14" t="str">
        <f t="shared" si="2"/>
        <v>06/06</v>
      </c>
      <c r="I296" s="15" t="str">
        <f t="shared" si="3"/>
        <v>Après-midi</v>
      </c>
    </row>
    <row r="297" ht="14.25" customHeight="1">
      <c r="A297" s="39">
        <v>46179.0</v>
      </c>
      <c r="B297" s="36" t="s">
        <v>54</v>
      </c>
      <c r="C297" s="36" t="s">
        <v>27</v>
      </c>
      <c r="D297" s="37">
        <v>0.916666666666667</v>
      </c>
      <c r="E297" s="37">
        <v>0.929166666666667</v>
      </c>
      <c r="F297" s="38" t="str">
        <f t="shared" si="1"/>
        <v>18</v>
      </c>
      <c r="G297" s="8"/>
      <c r="H297" s="14" t="str">
        <f t="shared" si="2"/>
        <v>06/06</v>
      </c>
      <c r="I297" s="15" t="str">
        <f t="shared" si="3"/>
        <v>Nuit</v>
      </c>
    </row>
    <row r="298" ht="14.25" customHeight="1">
      <c r="A298" s="39">
        <v>46180.0</v>
      </c>
      <c r="B298" s="36" t="s">
        <v>66</v>
      </c>
      <c r="C298" s="36" t="s">
        <v>27</v>
      </c>
      <c r="D298" s="37">
        <v>0.0784722222222222</v>
      </c>
      <c r="E298" s="37">
        <v>0.0951388888888889</v>
      </c>
      <c r="F298" s="38" t="str">
        <f t="shared" si="1"/>
        <v>24</v>
      </c>
      <c r="G298" s="8"/>
      <c r="H298" s="14" t="str">
        <f t="shared" si="2"/>
        <v>06/06</v>
      </c>
      <c r="I298" s="15" t="str">
        <f t="shared" si="3"/>
        <v>Nuit</v>
      </c>
    </row>
    <row r="299" ht="14.25" customHeight="1">
      <c r="A299" s="39">
        <v>46180.0</v>
      </c>
      <c r="B299" s="36" t="s">
        <v>66</v>
      </c>
      <c r="C299" s="36" t="s">
        <v>27</v>
      </c>
      <c r="D299" s="37">
        <v>0.190277777777778</v>
      </c>
      <c r="E299" s="37">
        <v>0.197222222222222</v>
      </c>
      <c r="F299" s="38" t="str">
        <f t="shared" si="1"/>
        <v>10</v>
      </c>
      <c r="G299" s="8"/>
      <c r="H299" s="14" t="str">
        <f t="shared" si="2"/>
        <v>06/06</v>
      </c>
      <c r="I299" s="15" t="str">
        <f t="shared" si="3"/>
        <v>Nuit</v>
      </c>
    </row>
    <row r="300" ht="14.25" customHeight="1">
      <c r="A300" s="39">
        <v>46180.0</v>
      </c>
      <c r="B300" s="36" t="s">
        <v>54</v>
      </c>
      <c r="C300" s="36" t="s">
        <v>27</v>
      </c>
      <c r="D300" s="37">
        <v>0.371527777777778</v>
      </c>
      <c r="E300" s="37">
        <v>0.381944444444444</v>
      </c>
      <c r="F300" s="38" t="str">
        <f t="shared" si="1"/>
        <v>15</v>
      </c>
      <c r="G300" s="8"/>
      <c r="H300" s="14" t="str">
        <f t="shared" si="2"/>
        <v>07/06</v>
      </c>
      <c r="I300" s="15" t="str">
        <f t="shared" si="3"/>
        <v>Matin</v>
      </c>
    </row>
    <row r="301" ht="14.25" customHeight="1">
      <c r="A301" s="39">
        <v>46180.0</v>
      </c>
      <c r="B301" s="36" t="s">
        <v>54</v>
      </c>
      <c r="C301" s="36" t="s">
        <v>27</v>
      </c>
      <c r="D301" s="37">
        <v>0.48125</v>
      </c>
      <c r="E301" s="37">
        <v>0.486111111111111</v>
      </c>
      <c r="F301" s="38" t="str">
        <f t="shared" si="1"/>
        <v>7</v>
      </c>
      <c r="G301" s="8"/>
      <c r="H301" s="14" t="str">
        <f t="shared" si="2"/>
        <v>07/06</v>
      </c>
      <c r="I301" s="15" t="str">
        <f t="shared" si="3"/>
        <v>Matin</v>
      </c>
    </row>
    <row r="302" ht="14.25" customHeight="1">
      <c r="A302" s="39">
        <v>46180.0</v>
      </c>
      <c r="B302" s="36" t="s">
        <v>54</v>
      </c>
      <c r="C302" s="36" t="s">
        <v>27</v>
      </c>
      <c r="D302" s="37">
        <v>0.550694444444445</v>
      </c>
      <c r="E302" s="37">
        <v>0.555555555555556</v>
      </c>
      <c r="F302" s="38" t="str">
        <f t="shared" si="1"/>
        <v>7</v>
      </c>
      <c r="G302" s="8"/>
      <c r="H302" s="14" t="str">
        <f t="shared" si="2"/>
        <v>07/06</v>
      </c>
      <c r="I302" s="15" t="str">
        <f t="shared" si="3"/>
        <v>Matin</v>
      </c>
    </row>
    <row r="303" ht="14.25" customHeight="1">
      <c r="A303" s="39">
        <v>46180.0</v>
      </c>
      <c r="B303" s="36" t="s">
        <v>67</v>
      </c>
      <c r="C303" s="36" t="s">
        <v>27</v>
      </c>
      <c r="D303" s="37">
        <v>0.680555555555556</v>
      </c>
      <c r="E303" s="37">
        <v>0.696527777777778</v>
      </c>
      <c r="F303" s="38" t="str">
        <f t="shared" si="1"/>
        <v>23</v>
      </c>
      <c r="G303" s="8"/>
      <c r="H303" s="14" t="str">
        <f t="shared" si="2"/>
        <v>07/06</v>
      </c>
      <c r="I303" s="15" t="str">
        <f t="shared" si="3"/>
        <v>Après-midi</v>
      </c>
    </row>
    <row r="304" ht="14.25" customHeight="1">
      <c r="A304" s="39">
        <v>46180.0</v>
      </c>
      <c r="B304" s="36" t="s">
        <v>67</v>
      </c>
      <c r="C304" s="36" t="s">
        <v>27</v>
      </c>
      <c r="D304" s="37">
        <v>0.725</v>
      </c>
      <c r="E304" s="37">
        <v>0.730555555555556</v>
      </c>
      <c r="F304" s="38" t="str">
        <f t="shared" si="1"/>
        <v>8</v>
      </c>
      <c r="G304" s="8"/>
      <c r="H304" s="14" t="str">
        <f t="shared" si="2"/>
        <v>07/06</v>
      </c>
      <c r="I304" s="15" t="str">
        <f t="shared" si="3"/>
        <v>Après-midi</v>
      </c>
    </row>
    <row r="305" ht="14.25" customHeight="1">
      <c r="A305" s="39">
        <v>46180.0</v>
      </c>
      <c r="B305" s="36" t="s">
        <v>67</v>
      </c>
      <c r="C305" s="36" t="s">
        <v>27</v>
      </c>
      <c r="D305" s="37">
        <v>0.833333333333333</v>
      </c>
      <c r="E305" s="37">
        <v>0.841666666666667</v>
      </c>
      <c r="F305" s="38" t="str">
        <f t="shared" si="1"/>
        <v>12</v>
      </c>
      <c r="G305" s="8"/>
      <c r="H305" s="14" t="str">
        <f t="shared" si="2"/>
        <v>07/06</v>
      </c>
      <c r="I305" s="15" t="str">
        <f t="shared" si="3"/>
        <v>Après-midi</v>
      </c>
    </row>
    <row r="306" ht="14.25" customHeight="1">
      <c r="A306" s="39">
        <v>46180.0</v>
      </c>
      <c r="B306" s="36" t="s">
        <v>66</v>
      </c>
      <c r="C306" s="36" t="s">
        <v>27</v>
      </c>
      <c r="D306" s="37">
        <v>0.968055555555556</v>
      </c>
      <c r="E306" s="37">
        <v>0.972222222222222</v>
      </c>
      <c r="F306" s="38" t="str">
        <f t="shared" si="1"/>
        <v>6</v>
      </c>
      <c r="G306" s="8"/>
      <c r="H306" s="14" t="str">
        <f t="shared" si="2"/>
        <v>07/06</v>
      </c>
      <c r="I306" s="15" t="str">
        <f t="shared" si="3"/>
        <v>Nuit</v>
      </c>
    </row>
    <row r="307" ht="14.25" customHeight="1">
      <c r="A307" s="39">
        <v>46181.0</v>
      </c>
      <c r="B307" s="36" t="s">
        <v>66</v>
      </c>
      <c r="C307" s="36" t="s">
        <v>27</v>
      </c>
      <c r="D307" s="37">
        <v>0.166666666666667</v>
      </c>
      <c r="E307" s="37">
        <v>0.172916666666667</v>
      </c>
      <c r="F307" s="38" t="str">
        <f t="shared" si="1"/>
        <v>9</v>
      </c>
      <c r="G307" s="8"/>
      <c r="H307" s="14" t="str">
        <f t="shared" si="2"/>
        <v>07/06</v>
      </c>
      <c r="I307" s="15" t="str">
        <f t="shared" si="3"/>
        <v>Nuit</v>
      </c>
    </row>
    <row r="308" ht="14.25" customHeight="1">
      <c r="A308" s="39">
        <v>46181.0</v>
      </c>
      <c r="B308" s="36" t="s">
        <v>66</v>
      </c>
      <c r="C308" s="36" t="s">
        <v>27</v>
      </c>
      <c r="D308" s="37">
        <v>0.243055555555556</v>
      </c>
      <c r="E308" s="37">
        <v>0.25</v>
      </c>
      <c r="F308" s="38" t="str">
        <f t="shared" si="1"/>
        <v>10</v>
      </c>
      <c r="G308" s="8"/>
      <c r="H308" s="14" t="str">
        <f t="shared" si="2"/>
        <v>07/06</v>
      </c>
      <c r="I308" s="15" t="str">
        <f t="shared" si="3"/>
        <v>Nuit</v>
      </c>
    </row>
    <row r="309" ht="14.25" customHeight="1">
      <c r="A309" s="39">
        <v>46181.0</v>
      </c>
      <c r="B309" s="36" t="s">
        <v>54</v>
      </c>
      <c r="C309" s="36" t="s">
        <v>27</v>
      </c>
      <c r="D309" s="37">
        <v>0.335416666666667</v>
      </c>
      <c r="E309" s="37">
        <v>0.365277777777778</v>
      </c>
      <c r="F309" s="38" t="str">
        <f t="shared" si="1"/>
        <v>43</v>
      </c>
      <c r="G309" s="8"/>
      <c r="H309" s="14" t="str">
        <f t="shared" si="2"/>
        <v>08/06</v>
      </c>
      <c r="I309" s="15" t="str">
        <f t="shared" si="3"/>
        <v>Matin</v>
      </c>
    </row>
    <row r="310" ht="14.25" customHeight="1">
      <c r="A310" s="39">
        <v>46181.0</v>
      </c>
      <c r="B310" s="36" t="s">
        <v>54</v>
      </c>
      <c r="C310" s="36" t="s">
        <v>27</v>
      </c>
      <c r="D310" s="37">
        <v>0.575</v>
      </c>
      <c r="E310" s="37">
        <v>0.586111111111111</v>
      </c>
      <c r="F310" s="38" t="str">
        <f t="shared" si="1"/>
        <v>16</v>
      </c>
      <c r="G310" s="8"/>
      <c r="H310" s="14" t="str">
        <f t="shared" si="2"/>
        <v>08/06</v>
      </c>
      <c r="I310" s="15" t="str">
        <f t="shared" si="3"/>
        <v>Matin</v>
      </c>
    </row>
    <row r="311" ht="14.25" customHeight="1">
      <c r="A311" s="39">
        <v>46181.0</v>
      </c>
      <c r="B311" s="36" t="s">
        <v>67</v>
      </c>
      <c r="C311" s="36" t="s">
        <v>27</v>
      </c>
      <c r="D311" s="37">
        <v>0.625</v>
      </c>
      <c r="E311" s="37">
        <v>0.63125</v>
      </c>
      <c r="F311" s="38" t="str">
        <f t="shared" si="1"/>
        <v>9</v>
      </c>
      <c r="G311" s="8"/>
      <c r="H311" s="14" t="str">
        <f t="shared" si="2"/>
        <v>08/06</v>
      </c>
      <c r="I311" s="15" t="str">
        <f t="shared" si="3"/>
        <v>Après-midi</v>
      </c>
    </row>
    <row r="312" ht="14.25" customHeight="1">
      <c r="A312" s="39">
        <v>46181.0</v>
      </c>
      <c r="B312" s="36" t="s">
        <v>67</v>
      </c>
      <c r="C312" s="36" t="s">
        <v>27</v>
      </c>
      <c r="D312" s="37">
        <v>0.689583333333333</v>
      </c>
      <c r="E312" s="37">
        <v>0.697222222222222</v>
      </c>
      <c r="F312" s="38" t="str">
        <f t="shared" si="1"/>
        <v>11</v>
      </c>
      <c r="G312" s="8"/>
      <c r="H312" s="14" t="str">
        <f t="shared" si="2"/>
        <v>08/06</v>
      </c>
      <c r="I312" s="15" t="str">
        <f t="shared" si="3"/>
        <v>Après-midi</v>
      </c>
    </row>
    <row r="313" ht="14.25" customHeight="1">
      <c r="A313" s="39">
        <v>46181.0</v>
      </c>
      <c r="B313" s="36" t="s">
        <v>67</v>
      </c>
      <c r="C313" s="36" t="s">
        <v>27</v>
      </c>
      <c r="D313" s="37">
        <v>0.839583333333333</v>
      </c>
      <c r="E313" s="37">
        <v>0.847222222222222</v>
      </c>
      <c r="F313" s="38" t="str">
        <f t="shared" si="1"/>
        <v>11</v>
      </c>
      <c r="G313" s="8"/>
      <c r="H313" s="14" t="str">
        <f t="shared" si="2"/>
        <v>08/06</v>
      </c>
      <c r="I313" s="15" t="str">
        <f t="shared" si="3"/>
        <v>Après-midi</v>
      </c>
    </row>
    <row r="314" ht="14.25" customHeight="1">
      <c r="A314" s="39">
        <v>46181.0</v>
      </c>
      <c r="B314" s="36" t="s">
        <v>66</v>
      </c>
      <c r="C314" s="36" t="s">
        <v>27</v>
      </c>
      <c r="D314" s="37">
        <v>0.922222222222222</v>
      </c>
      <c r="E314" s="37">
        <v>0.95625</v>
      </c>
      <c r="F314" s="38" t="str">
        <f t="shared" si="1"/>
        <v>49</v>
      </c>
      <c r="G314" s="8"/>
      <c r="H314" s="14" t="str">
        <f t="shared" si="2"/>
        <v>08/06</v>
      </c>
      <c r="I314" s="15" t="str">
        <f t="shared" si="3"/>
        <v>Nuit</v>
      </c>
    </row>
    <row r="315" ht="14.25" customHeight="1">
      <c r="A315" s="39">
        <v>46182.0</v>
      </c>
      <c r="B315" s="36" t="s">
        <v>66</v>
      </c>
      <c r="C315" s="36" t="s">
        <v>27</v>
      </c>
      <c r="D315" s="37">
        <v>0.138194444444445</v>
      </c>
      <c r="E315" s="37">
        <v>0.141666666666667</v>
      </c>
      <c r="F315" s="38" t="str">
        <f t="shared" si="1"/>
        <v>5</v>
      </c>
      <c r="G315" s="8"/>
      <c r="H315" s="14" t="str">
        <f t="shared" si="2"/>
        <v>08/06</v>
      </c>
      <c r="I315" s="15" t="str">
        <f t="shared" si="3"/>
        <v>Nuit</v>
      </c>
    </row>
    <row r="316" ht="14.25" customHeight="1">
      <c r="A316" s="39">
        <v>46182.0</v>
      </c>
      <c r="B316" s="36" t="s">
        <v>66</v>
      </c>
      <c r="C316" s="36" t="s">
        <v>27</v>
      </c>
      <c r="D316" s="37">
        <v>0.243055555555556</v>
      </c>
      <c r="E316" s="37">
        <v>0.25</v>
      </c>
      <c r="F316" s="38" t="str">
        <f t="shared" si="1"/>
        <v>10</v>
      </c>
      <c r="G316" s="8"/>
      <c r="H316" s="14" t="str">
        <f t="shared" si="2"/>
        <v>08/06</v>
      </c>
      <c r="I316" s="15" t="str">
        <f t="shared" si="3"/>
        <v>Nuit</v>
      </c>
    </row>
    <row r="317" ht="14.25" customHeight="1">
      <c r="A317" s="39">
        <v>46182.0</v>
      </c>
      <c r="B317" s="36" t="s">
        <v>54</v>
      </c>
      <c r="C317" s="36" t="s">
        <v>27</v>
      </c>
      <c r="D317" s="37">
        <v>0.314583333333333</v>
      </c>
      <c r="E317" s="37">
        <v>0.320833333333333</v>
      </c>
      <c r="F317" s="38" t="str">
        <f t="shared" si="1"/>
        <v>9</v>
      </c>
      <c r="G317" s="8"/>
      <c r="H317" s="14" t="str">
        <f t="shared" si="2"/>
        <v>09/06</v>
      </c>
      <c r="I317" s="15" t="str">
        <f t="shared" si="3"/>
        <v>Matin</v>
      </c>
    </row>
    <row r="318" ht="14.25" customHeight="1">
      <c r="A318" s="39">
        <v>46182.0</v>
      </c>
      <c r="B318" s="36" t="s">
        <v>54</v>
      </c>
      <c r="C318" s="36" t="s">
        <v>27</v>
      </c>
      <c r="D318" s="37">
        <v>0.416666666666667</v>
      </c>
      <c r="E318" s="37">
        <v>0.423611111111111</v>
      </c>
      <c r="F318" s="38" t="str">
        <f t="shared" si="1"/>
        <v>10</v>
      </c>
      <c r="G318" s="8"/>
      <c r="H318" s="14" t="str">
        <f t="shared" si="2"/>
        <v>09/06</v>
      </c>
      <c r="I318" s="15" t="str">
        <f t="shared" si="3"/>
        <v>Matin</v>
      </c>
    </row>
    <row r="319" ht="14.25" customHeight="1">
      <c r="A319" s="39">
        <v>46182.0</v>
      </c>
      <c r="B319" s="36" t="s">
        <v>54</v>
      </c>
      <c r="C319" s="36" t="s">
        <v>27</v>
      </c>
      <c r="D319" s="37">
        <v>0.502083333333333</v>
      </c>
      <c r="E319" s="37">
        <v>0.51875</v>
      </c>
      <c r="F319" s="38" t="str">
        <f t="shared" si="1"/>
        <v>24</v>
      </c>
      <c r="G319" s="8"/>
      <c r="H319" s="14" t="str">
        <f t="shared" si="2"/>
        <v>09/06</v>
      </c>
      <c r="I319" s="15" t="str">
        <f t="shared" si="3"/>
        <v>Matin</v>
      </c>
    </row>
    <row r="320" ht="14.25" customHeight="1">
      <c r="A320" s="39">
        <v>46182.0</v>
      </c>
      <c r="B320" s="36" t="s">
        <v>54</v>
      </c>
      <c r="C320" s="36" t="s">
        <v>27</v>
      </c>
      <c r="D320" s="37">
        <v>0.583333333333333</v>
      </c>
      <c r="E320" s="37">
        <v>0.5875</v>
      </c>
      <c r="F320" s="38" t="str">
        <f t="shared" si="1"/>
        <v>6</v>
      </c>
      <c r="G320" s="8"/>
      <c r="H320" s="14" t="str">
        <f t="shared" si="2"/>
        <v>09/06</v>
      </c>
      <c r="I320" s="15" t="str">
        <f t="shared" si="3"/>
        <v>Après-midi</v>
      </c>
    </row>
    <row r="321" ht="14.25" customHeight="1">
      <c r="A321" s="39">
        <v>46182.0</v>
      </c>
      <c r="B321" s="36" t="s">
        <v>67</v>
      </c>
      <c r="C321" s="36" t="s">
        <v>27</v>
      </c>
      <c r="D321" s="37">
        <v>0.638888888888889</v>
      </c>
      <c r="E321" s="37">
        <v>0.649305555555556</v>
      </c>
      <c r="F321" s="38" t="str">
        <f t="shared" si="1"/>
        <v>15</v>
      </c>
      <c r="G321" s="8"/>
      <c r="H321" s="14" t="str">
        <f t="shared" si="2"/>
        <v>09/06</v>
      </c>
      <c r="I321" s="15" t="str">
        <f t="shared" si="3"/>
        <v>Après-midi</v>
      </c>
    </row>
    <row r="322" ht="14.25" customHeight="1">
      <c r="A322" s="39">
        <v>46182.0</v>
      </c>
      <c r="B322" s="36" t="s">
        <v>67</v>
      </c>
      <c r="C322" s="36" t="s">
        <v>27</v>
      </c>
      <c r="D322" s="37">
        <v>0.673611111111111</v>
      </c>
      <c r="E322" s="37">
        <v>0.677083333333333</v>
      </c>
      <c r="F322" s="38" t="str">
        <f t="shared" si="1"/>
        <v>5</v>
      </c>
      <c r="G322" s="8"/>
      <c r="H322" s="14" t="str">
        <f t="shared" si="2"/>
        <v>09/06</v>
      </c>
      <c r="I322" s="15" t="str">
        <f t="shared" si="3"/>
        <v>Après-midi</v>
      </c>
    </row>
    <row r="323" ht="14.25" customHeight="1">
      <c r="A323" s="39">
        <v>46182.0</v>
      </c>
      <c r="B323" s="36" t="s">
        <v>67</v>
      </c>
      <c r="C323" s="36" t="s">
        <v>27</v>
      </c>
      <c r="D323" s="37">
        <v>0.6875</v>
      </c>
      <c r="E323" s="37">
        <v>0.693055555555556</v>
      </c>
      <c r="F323" s="38" t="str">
        <f t="shared" si="1"/>
        <v>8</v>
      </c>
      <c r="G323" s="8"/>
      <c r="H323" s="14" t="str">
        <f t="shared" si="2"/>
        <v>09/06</v>
      </c>
      <c r="I323" s="15" t="str">
        <f t="shared" si="3"/>
        <v>Après-midi</v>
      </c>
    </row>
    <row r="324" ht="14.25" customHeight="1">
      <c r="A324" s="39">
        <v>46182.0</v>
      </c>
      <c r="B324" s="36" t="s">
        <v>67</v>
      </c>
      <c r="C324" s="36" t="s">
        <v>27</v>
      </c>
      <c r="D324" s="37">
        <v>0.729166666666667</v>
      </c>
      <c r="E324" s="37">
        <v>0.756944444444444</v>
      </c>
      <c r="F324" s="38" t="str">
        <f t="shared" si="1"/>
        <v>40</v>
      </c>
      <c r="G324" s="8"/>
      <c r="H324" s="14" t="str">
        <f t="shared" si="2"/>
        <v>09/06</v>
      </c>
      <c r="I324" s="15" t="str">
        <f t="shared" si="3"/>
        <v>Après-midi</v>
      </c>
    </row>
    <row r="325" ht="14.25" customHeight="1">
      <c r="A325" s="39">
        <v>46182.0</v>
      </c>
      <c r="B325" s="36" t="s">
        <v>67</v>
      </c>
      <c r="C325" s="36" t="s">
        <v>27</v>
      </c>
      <c r="D325" s="37">
        <v>0.843055555555556</v>
      </c>
      <c r="E325" s="37">
        <v>0.847222222222222</v>
      </c>
      <c r="F325" s="38" t="str">
        <f t="shared" si="1"/>
        <v>6</v>
      </c>
      <c r="G325" s="8"/>
      <c r="H325" s="14" t="str">
        <f t="shared" si="2"/>
        <v>09/06</v>
      </c>
      <c r="I325" s="15" t="str">
        <f t="shared" si="3"/>
        <v>Après-midi</v>
      </c>
    </row>
    <row r="326" ht="14.25" customHeight="1">
      <c r="A326" s="39">
        <v>46182.0</v>
      </c>
      <c r="B326" s="36" t="s">
        <v>67</v>
      </c>
      <c r="C326" s="36" t="s">
        <v>27</v>
      </c>
      <c r="D326" s="37">
        <v>0.895833333333333</v>
      </c>
      <c r="E326" s="37">
        <v>0.916666666666667</v>
      </c>
      <c r="F326" s="38" t="str">
        <f t="shared" si="1"/>
        <v>30</v>
      </c>
      <c r="G326" s="8"/>
      <c r="H326" s="14" t="str">
        <f t="shared" si="2"/>
        <v>09/06</v>
      </c>
      <c r="I326" s="15" t="str">
        <f t="shared" si="3"/>
        <v>Après-midi</v>
      </c>
    </row>
    <row r="327" ht="14.25" customHeight="1">
      <c r="A327" s="39">
        <v>46182.0</v>
      </c>
      <c r="B327" s="36" t="s">
        <v>66</v>
      </c>
      <c r="C327" s="36" t="s">
        <v>27</v>
      </c>
      <c r="D327" s="37">
        <v>0.985416666666667</v>
      </c>
      <c r="E327" s="37">
        <v>0.989583333333333</v>
      </c>
      <c r="F327" s="38" t="str">
        <f t="shared" si="1"/>
        <v>6</v>
      </c>
      <c r="G327" s="8"/>
      <c r="H327" s="14" t="str">
        <f t="shared" si="2"/>
        <v>09/06</v>
      </c>
      <c r="I327" s="15" t="str">
        <f t="shared" si="3"/>
        <v>Nuit</v>
      </c>
    </row>
    <row r="328" ht="14.25" customHeight="1">
      <c r="A328" s="39">
        <v>46183.0</v>
      </c>
      <c r="B328" s="36" t="s">
        <v>66</v>
      </c>
      <c r="C328" s="36" t="s">
        <v>27</v>
      </c>
      <c r="D328" s="37">
        <v>0.208333333333333</v>
      </c>
      <c r="E328" s="37">
        <v>0.215277777777778</v>
      </c>
      <c r="F328" s="38" t="str">
        <f t="shared" si="1"/>
        <v>10</v>
      </c>
      <c r="G328" s="8"/>
      <c r="H328" s="14" t="str">
        <f t="shared" si="2"/>
        <v>09/06</v>
      </c>
      <c r="I328" s="15" t="str">
        <f t="shared" si="3"/>
        <v>Nuit</v>
      </c>
    </row>
    <row r="329" ht="14.25" customHeight="1">
      <c r="A329" s="39">
        <v>46183.0</v>
      </c>
      <c r="B329" s="36" t="s">
        <v>54</v>
      </c>
      <c r="C329" s="36" t="s">
        <v>27</v>
      </c>
      <c r="D329" s="37">
        <v>0.365972222222222</v>
      </c>
      <c r="E329" s="37">
        <v>0.372916666666667</v>
      </c>
      <c r="F329" s="38" t="str">
        <f t="shared" si="1"/>
        <v>10</v>
      </c>
      <c r="G329" s="8"/>
      <c r="H329" s="14" t="str">
        <f t="shared" si="2"/>
        <v>10/06</v>
      </c>
      <c r="I329" s="15" t="str">
        <f t="shared" si="3"/>
        <v>Matin</v>
      </c>
    </row>
    <row r="330" ht="14.25" customHeight="1">
      <c r="A330" s="39">
        <v>46183.0</v>
      </c>
      <c r="B330" s="36" t="s">
        <v>54</v>
      </c>
      <c r="C330" s="36" t="s">
        <v>27</v>
      </c>
      <c r="D330" s="37">
        <v>0.458333333333333</v>
      </c>
      <c r="E330" s="37">
        <v>0.460416666666667</v>
      </c>
      <c r="F330" s="38" t="str">
        <f t="shared" si="1"/>
        <v>3</v>
      </c>
      <c r="G330" s="8"/>
      <c r="H330" s="14" t="str">
        <f t="shared" si="2"/>
        <v>10/06</v>
      </c>
      <c r="I330" s="15" t="str">
        <f t="shared" si="3"/>
        <v>Matin</v>
      </c>
    </row>
    <row r="331" ht="14.25" customHeight="1">
      <c r="A331" s="39">
        <v>46183.0</v>
      </c>
      <c r="B331" s="36" t="s">
        <v>54</v>
      </c>
      <c r="C331" s="36" t="s">
        <v>27</v>
      </c>
      <c r="D331" s="37">
        <v>0.583333333333333</v>
      </c>
      <c r="E331" s="37">
        <v>0.589583333333333</v>
      </c>
      <c r="F331" s="38" t="str">
        <f t="shared" si="1"/>
        <v>9</v>
      </c>
      <c r="G331" s="8"/>
      <c r="H331" s="14" t="str">
        <f t="shared" si="2"/>
        <v>10/06</v>
      </c>
      <c r="I331" s="15" t="str">
        <f t="shared" si="3"/>
        <v>Après-midi</v>
      </c>
    </row>
    <row r="332" ht="14.25" customHeight="1">
      <c r="A332" s="39">
        <v>46183.0</v>
      </c>
      <c r="B332" s="36" t="s">
        <v>67</v>
      </c>
      <c r="C332" s="36" t="s">
        <v>27</v>
      </c>
      <c r="D332" s="37">
        <v>0.606944444444444</v>
      </c>
      <c r="E332" s="37">
        <v>0.6125</v>
      </c>
      <c r="F332" s="38" t="str">
        <f t="shared" si="1"/>
        <v>8</v>
      </c>
      <c r="G332" s="8"/>
      <c r="H332" s="14" t="str">
        <f t="shared" si="2"/>
        <v>10/06</v>
      </c>
      <c r="I332" s="15" t="str">
        <f t="shared" si="3"/>
        <v>Après-midi</v>
      </c>
    </row>
    <row r="333" ht="14.25" customHeight="1">
      <c r="A333" s="39">
        <v>46183.0</v>
      </c>
      <c r="B333" s="36" t="s">
        <v>67</v>
      </c>
      <c r="C333" s="36" t="s">
        <v>27</v>
      </c>
      <c r="D333" s="37">
        <v>0.748611111111111</v>
      </c>
      <c r="E333" s="37">
        <v>0.75625</v>
      </c>
      <c r="F333" s="38" t="str">
        <f t="shared" si="1"/>
        <v>11</v>
      </c>
      <c r="G333" s="8"/>
      <c r="H333" s="14" t="str">
        <f t="shared" si="2"/>
        <v>10/06</v>
      </c>
      <c r="I333" s="15" t="str">
        <f t="shared" si="3"/>
        <v>Après-midi</v>
      </c>
    </row>
    <row r="334" ht="14.25" customHeight="1">
      <c r="A334" s="39">
        <v>46183.0</v>
      </c>
      <c r="B334" s="36" t="s">
        <v>67</v>
      </c>
      <c r="C334" s="36" t="s">
        <v>27</v>
      </c>
      <c r="D334" s="37">
        <v>0.899305555555556</v>
      </c>
      <c r="E334" s="37">
        <v>0.916666666666667</v>
      </c>
      <c r="F334" s="38" t="str">
        <f t="shared" si="1"/>
        <v>25</v>
      </c>
      <c r="G334" s="8"/>
      <c r="H334" s="14" t="str">
        <f t="shared" si="2"/>
        <v>10/06</v>
      </c>
      <c r="I334" s="15" t="str">
        <f t="shared" si="3"/>
        <v>Après-midi</v>
      </c>
    </row>
    <row r="335" ht="14.25" customHeight="1">
      <c r="A335" s="39">
        <v>46183.0</v>
      </c>
      <c r="B335" s="36" t="s">
        <v>66</v>
      </c>
      <c r="C335" s="36" t="s">
        <v>27</v>
      </c>
      <c r="D335" s="37">
        <v>0.989583333333333</v>
      </c>
      <c r="E335" s="37">
        <v>0.993055555555556</v>
      </c>
      <c r="F335" s="38" t="str">
        <f t="shared" si="1"/>
        <v>5</v>
      </c>
      <c r="G335" s="8"/>
      <c r="H335" s="14" t="str">
        <f t="shared" si="2"/>
        <v>10/06</v>
      </c>
      <c r="I335" s="15" t="str">
        <f t="shared" si="3"/>
        <v>Nuit</v>
      </c>
    </row>
    <row r="336" ht="14.25" customHeight="1">
      <c r="A336" s="39">
        <v>46184.0</v>
      </c>
      <c r="B336" s="36" t="s">
        <v>66</v>
      </c>
      <c r="C336" s="36" t="s">
        <v>27</v>
      </c>
      <c r="D336" s="37">
        <v>0.114583333333333</v>
      </c>
      <c r="E336" s="37">
        <v>0.120833333333333</v>
      </c>
      <c r="F336" s="38" t="str">
        <f t="shared" si="1"/>
        <v>9</v>
      </c>
      <c r="G336" s="8"/>
      <c r="H336" s="14" t="str">
        <f t="shared" si="2"/>
        <v>10/06</v>
      </c>
      <c r="I336" s="15" t="str">
        <f t="shared" si="3"/>
        <v>Nuit</v>
      </c>
    </row>
    <row r="337" ht="14.25" customHeight="1">
      <c r="A337" s="39">
        <v>46184.0</v>
      </c>
      <c r="B337" s="36" t="s">
        <v>66</v>
      </c>
      <c r="C337" s="36" t="s">
        <v>27</v>
      </c>
      <c r="D337" s="37">
        <v>0.142361111111111</v>
      </c>
      <c r="E337" s="37">
        <v>0.14375</v>
      </c>
      <c r="F337" s="38" t="str">
        <f t="shared" si="1"/>
        <v>2</v>
      </c>
      <c r="G337" s="8"/>
      <c r="H337" s="14" t="str">
        <f t="shared" si="2"/>
        <v>10/06</v>
      </c>
      <c r="I337" s="15" t="str">
        <f t="shared" si="3"/>
        <v>Nuit</v>
      </c>
    </row>
    <row r="338" ht="14.25" customHeight="1">
      <c r="A338" s="39">
        <v>46140.0</v>
      </c>
      <c r="B338" s="36" t="s">
        <v>54</v>
      </c>
      <c r="C338" s="36" t="s">
        <v>24</v>
      </c>
      <c r="D338" s="37">
        <v>0.326388888888889</v>
      </c>
      <c r="E338" s="37">
        <v>0.348611111111111</v>
      </c>
      <c r="F338" s="38" t="str">
        <f t="shared" si="1"/>
        <v>32</v>
      </c>
      <c r="G338" s="8"/>
      <c r="H338" s="14" t="str">
        <f t="shared" si="2"/>
        <v>28/04</v>
      </c>
      <c r="I338" s="15" t="str">
        <f t="shared" si="3"/>
        <v>Matin</v>
      </c>
    </row>
    <row r="339" ht="14.25" customHeight="1">
      <c r="A339" s="39">
        <v>46140.0</v>
      </c>
      <c r="B339" s="36" t="s">
        <v>54</v>
      </c>
      <c r="C339" s="36" t="s">
        <v>24</v>
      </c>
      <c r="D339" s="37">
        <v>0.409722222222222</v>
      </c>
      <c r="E339" s="37">
        <v>0.447916666666667</v>
      </c>
      <c r="F339" s="38" t="str">
        <f t="shared" si="1"/>
        <v>55</v>
      </c>
      <c r="G339" s="8"/>
      <c r="H339" s="14" t="str">
        <f t="shared" si="2"/>
        <v>28/04</v>
      </c>
      <c r="I339" s="15" t="str">
        <f t="shared" si="3"/>
        <v>Matin</v>
      </c>
    </row>
    <row r="340" ht="14.25" customHeight="1">
      <c r="A340" s="39">
        <v>46140.0</v>
      </c>
      <c r="B340" s="36" t="s">
        <v>54</v>
      </c>
      <c r="C340" s="36" t="s">
        <v>24</v>
      </c>
      <c r="D340" s="37">
        <v>0.541666666666667</v>
      </c>
      <c r="E340" s="37">
        <v>0.565972222222222</v>
      </c>
      <c r="F340" s="38" t="str">
        <f t="shared" si="1"/>
        <v>35</v>
      </c>
      <c r="G340" s="8"/>
      <c r="H340" s="14" t="str">
        <f t="shared" si="2"/>
        <v>28/04</v>
      </c>
      <c r="I340" s="15" t="str">
        <f t="shared" si="3"/>
        <v>Matin</v>
      </c>
    </row>
    <row r="341" ht="14.25" customHeight="1">
      <c r="A341" s="39">
        <v>46141.0</v>
      </c>
      <c r="B341" s="36" t="s">
        <v>54</v>
      </c>
      <c r="C341" s="36" t="s">
        <v>24</v>
      </c>
      <c r="D341" s="37">
        <v>0.3125</v>
      </c>
      <c r="E341" s="37">
        <v>0.319444444444444</v>
      </c>
      <c r="F341" s="38" t="str">
        <f t="shared" si="1"/>
        <v>10</v>
      </c>
      <c r="G341" s="8"/>
      <c r="H341" s="14" t="str">
        <f t="shared" si="2"/>
        <v>29/04</v>
      </c>
      <c r="I341" s="15" t="str">
        <f t="shared" si="3"/>
        <v>Matin</v>
      </c>
    </row>
    <row r="342" ht="14.25" customHeight="1">
      <c r="A342" s="39">
        <v>46141.0</v>
      </c>
      <c r="B342" s="36" t="s">
        <v>54</v>
      </c>
      <c r="C342" s="36" t="s">
        <v>24</v>
      </c>
      <c r="D342" s="37">
        <v>0.522222222222222</v>
      </c>
      <c r="E342" s="37">
        <v>0.529166666666667</v>
      </c>
      <c r="F342" s="38" t="str">
        <f t="shared" si="1"/>
        <v>10</v>
      </c>
      <c r="G342" s="8"/>
      <c r="H342" s="14" t="str">
        <f t="shared" si="2"/>
        <v>29/04</v>
      </c>
      <c r="I342" s="15" t="str">
        <f t="shared" si="3"/>
        <v>Matin</v>
      </c>
    </row>
    <row r="343" ht="14.25" customHeight="1">
      <c r="A343" s="39">
        <v>46141.0</v>
      </c>
      <c r="B343" s="36" t="s">
        <v>54</v>
      </c>
      <c r="C343" s="36" t="s">
        <v>24</v>
      </c>
      <c r="D343" s="37">
        <v>0.5375</v>
      </c>
      <c r="E343" s="37">
        <v>0.548611111111111</v>
      </c>
      <c r="F343" s="38" t="str">
        <f t="shared" si="1"/>
        <v>16</v>
      </c>
      <c r="G343" s="8"/>
      <c r="H343" s="14" t="str">
        <f t="shared" si="2"/>
        <v>29/04</v>
      </c>
      <c r="I343" s="15" t="str">
        <f t="shared" si="3"/>
        <v>Matin</v>
      </c>
    </row>
    <row r="344" ht="14.25" customHeight="1">
      <c r="A344" s="39">
        <v>46141.0</v>
      </c>
      <c r="B344" s="36" t="s">
        <v>54</v>
      </c>
      <c r="C344" s="36" t="s">
        <v>24</v>
      </c>
      <c r="D344" s="37">
        <v>0.579861111111111</v>
      </c>
      <c r="E344" s="37">
        <v>0.583333333333333</v>
      </c>
      <c r="F344" s="38" t="str">
        <f t="shared" si="1"/>
        <v>5</v>
      </c>
      <c r="G344" s="8"/>
      <c r="H344" s="14" t="str">
        <f t="shared" si="2"/>
        <v>29/04</v>
      </c>
      <c r="I344" s="15" t="str">
        <f t="shared" si="3"/>
        <v>Matin</v>
      </c>
    </row>
    <row r="345" ht="14.25" customHeight="1">
      <c r="A345" s="39">
        <v>46141.0</v>
      </c>
      <c r="B345" s="36" t="s">
        <v>66</v>
      </c>
      <c r="C345" s="36" t="s">
        <v>24</v>
      </c>
      <c r="D345" s="37">
        <v>0.625</v>
      </c>
      <c r="E345" s="37">
        <v>0.631944444444444</v>
      </c>
      <c r="F345" s="38" t="str">
        <f t="shared" si="1"/>
        <v>10</v>
      </c>
      <c r="G345" s="8"/>
      <c r="H345" s="14" t="str">
        <f t="shared" si="2"/>
        <v>29/04</v>
      </c>
      <c r="I345" s="15" t="str">
        <f t="shared" si="3"/>
        <v>Après-midi</v>
      </c>
    </row>
    <row r="346" ht="14.25" customHeight="1">
      <c r="A346" s="39">
        <v>46141.0</v>
      </c>
      <c r="B346" s="36" t="s">
        <v>66</v>
      </c>
      <c r="C346" s="36" t="s">
        <v>24</v>
      </c>
      <c r="D346" s="37">
        <v>0.65625</v>
      </c>
      <c r="E346" s="37">
        <v>0.663194444444444</v>
      </c>
      <c r="F346" s="38" t="str">
        <f t="shared" si="1"/>
        <v>10</v>
      </c>
      <c r="G346" s="8"/>
      <c r="H346" s="14" t="str">
        <f t="shared" si="2"/>
        <v>29/04</v>
      </c>
      <c r="I346" s="15" t="str">
        <f t="shared" si="3"/>
        <v>Après-midi</v>
      </c>
    </row>
    <row r="347" ht="14.25" customHeight="1">
      <c r="A347" s="39">
        <v>46141.0</v>
      </c>
      <c r="B347" s="36" t="s">
        <v>66</v>
      </c>
      <c r="C347" s="36" t="s">
        <v>24</v>
      </c>
      <c r="D347" s="37">
        <v>0.694444444444444</v>
      </c>
      <c r="E347" s="37">
        <v>0.701388888888889</v>
      </c>
      <c r="F347" s="38" t="str">
        <f t="shared" si="1"/>
        <v>10</v>
      </c>
      <c r="G347" s="8"/>
      <c r="H347" s="14" t="str">
        <f t="shared" si="2"/>
        <v>29/04</v>
      </c>
      <c r="I347" s="15" t="str">
        <f t="shared" si="3"/>
        <v>Après-midi</v>
      </c>
    </row>
    <row r="348" ht="14.25" customHeight="1">
      <c r="A348" s="39">
        <v>46146.0</v>
      </c>
      <c r="B348" s="36" t="s">
        <v>54</v>
      </c>
      <c r="C348" s="36" t="s">
        <v>24</v>
      </c>
      <c r="D348" s="37">
        <v>0.440972222222222</v>
      </c>
      <c r="E348" s="37">
        <v>0.447916666666667</v>
      </c>
      <c r="F348" s="38" t="str">
        <f t="shared" si="1"/>
        <v>10</v>
      </c>
      <c r="G348" s="8"/>
      <c r="H348" s="14" t="str">
        <f t="shared" si="2"/>
        <v>04/05</v>
      </c>
      <c r="I348" s="15" t="str">
        <f t="shared" si="3"/>
        <v>Matin</v>
      </c>
    </row>
    <row r="349" ht="14.25" customHeight="1">
      <c r="A349" s="39">
        <v>46146.0</v>
      </c>
      <c r="B349" s="36" t="s">
        <v>54</v>
      </c>
      <c r="C349" s="36" t="s">
        <v>24</v>
      </c>
      <c r="D349" s="37">
        <v>0.458333333333333</v>
      </c>
      <c r="E349" s="37">
        <v>0.46875</v>
      </c>
      <c r="F349" s="38" t="str">
        <f t="shared" si="1"/>
        <v>15</v>
      </c>
      <c r="G349" s="8"/>
      <c r="H349" s="14" t="str">
        <f t="shared" si="2"/>
        <v>04/05</v>
      </c>
      <c r="I349" s="15" t="str">
        <f t="shared" si="3"/>
        <v>Matin</v>
      </c>
    </row>
    <row r="350" ht="14.25" customHeight="1">
      <c r="A350" s="39">
        <v>46146.0</v>
      </c>
      <c r="B350" s="36" t="s">
        <v>54</v>
      </c>
      <c r="C350" s="36" t="s">
        <v>24</v>
      </c>
      <c r="D350" s="37">
        <v>0.534722222222222</v>
      </c>
      <c r="E350" s="37">
        <v>0.552083333333333</v>
      </c>
      <c r="F350" s="38" t="str">
        <f t="shared" si="1"/>
        <v>25</v>
      </c>
      <c r="G350" s="8"/>
      <c r="H350" s="14" t="str">
        <f t="shared" si="2"/>
        <v>04/05</v>
      </c>
      <c r="I350" s="15" t="str">
        <f t="shared" si="3"/>
        <v>Matin</v>
      </c>
    </row>
    <row r="351" ht="14.25" customHeight="1">
      <c r="A351" s="39">
        <v>46147.0</v>
      </c>
      <c r="B351" s="36" t="s">
        <v>66</v>
      </c>
      <c r="C351" s="36" t="s">
        <v>24</v>
      </c>
      <c r="D351" s="37">
        <v>0.645833333333333</v>
      </c>
      <c r="E351" s="37">
        <v>0.656944444444444</v>
      </c>
      <c r="F351" s="38" t="str">
        <f t="shared" si="1"/>
        <v>16</v>
      </c>
      <c r="G351" s="8"/>
      <c r="H351" s="14" t="str">
        <f t="shared" si="2"/>
        <v>05/05</v>
      </c>
      <c r="I351" s="15" t="str">
        <f t="shared" si="3"/>
        <v>Après-midi</v>
      </c>
    </row>
    <row r="352" ht="14.25" customHeight="1">
      <c r="A352" s="39">
        <v>46147.0</v>
      </c>
      <c r="B352" s="36" t="s">
        <v>66</v>
      </c>
      <c r="C352" s="36" t="s">
        <v>24</v>
      </c>
      <c r="D352" s="37">
        <v>0.780555555555556</v>
      </c>
      <c r="E352" s="37">
        <v>0.788194444444444</v>
      </c>
      <c r="F352" s="38" t="str">
        <f t="shared" si="1"/>
        <v>11</v>
      </c>
      <c r="G352" s="8"/>
      <c r="H352" s="14" t="str">
        <f t="shared" si="2"/>
        <v>05/05</v>
      </c>
      <c r="I352" s="15" t="str">
        <f t="shared" si="3"/>
        <v>Après-midi</v>
      </c>
    </row>
    <row r="353" ht="14.25" customHeight="1">
      <c r="A353" s="39">
        <v>46148.0</v>
      </c>
      <c r="B353" s="36" t="s">
        <v>54</v>
      </c>
      <c r="C353" s="36" t="s">
        <v>24</v>
      </c>
      <c r="D353" s="37">
        <v>0.675694444444445</v>
      </c>
      <c r="E353" s="37">
        <v>0.7</v>
      </c>
      <c r="F353" s="38" t="str">
        <f t="shared" si="1"/>
        <v>35</v>
      </c>
      <c r="G353" s="8"/>
      <c r="H353" s="14" t="str">
        <f t="shared" si="2"/>
        <v>06/05</v>
      </c>
      <c r="I353" s="15" t="str">
        <f t="shared" si="3"/>
        <v>Après-midi</v>
      </c>
    </row>
    <row r="354" ht="14.25" customHeight="1">
      <c r="A354" s="39">
        <v>46148.0</v>
      </c>
      <c r="B354" s="36" t="s">
        <v>54</v>
      </c>
      <c r="C354" s="36" t="s">
        <v>24</v>
      </c>
      <c r="D354" s="37">
        <v>0.815972222222222</v>
      </c>
      <c r="E354" s="37">
        <v>0.833333333333333</v>
      </c>
      <c r="F354" s="38" t="str">
        <f t="shared" si="1"/>
        <v>25</v>
      </c>
      <c r="G354" s="8"/>
      <c r="H354" s="14" t="str">
        <f t="shared" si="2"/>
        <v>06/05</v>
      </c>
      <c r="I354" s="15" t="str">
        <f t="shared" si="3"/>
        <v>Après-midi</v>
      </c>
    </row>
    <row r="355" ht="14.25" customHeight="1">
      <c r="A355" s="39">
        <v>46149.0</v>
      </c>
      <c r="B355" s="36" t="s">
        <v>66</v>
      </c>
      <c r="C355" s="36" t="s">
        <v>24</v>
      </c>
      <c r="D355" s="37">
        <v>0.388888888888889</v>
      </c>
      <c r="E355" s="37">
        <v>0.395833333333333</v>
      </c>
      <c r="F355" s="38" t="str">
        <f t="shared" si="1"/>
        <v>10</v>
      </c>
      <c r="G355" s="8"/>
      <c r="H355" s="14" t="str">
        <f t="shared" si="2"/>
        <v>07/05</v>
      </c>
      <c r="I355" s="15" t="str">
        <f t="shared" si="3"/>
        <v>Matin</v>
      </c>
    </row>
    <row r="356" ht="14.25" customHeight="1">
      <c r="A356" s="39">
        <v>46149.0</v>
      </c>
      <c r="B356" s="36" t="s">
        <v>66</v>
      </c>
      <c r="C356" s="36" t="s">
        <v>24</v>
      </c>
      <c r="D356" s="37">
        <v>0.416666666666667</v>
      </c>
      <c r="E356" s="37">
        <v>0.458333333333333</v>
      </c>
      <c r="F356" s="38" t="str">
        <f t="shared" si="1"/>
        <v>60</v>
      </c>
      <c r="G356" s="8"/>
      <c r="H356" s="14" t="str">
        <f t="shared" si="2"/>
        <v>07/05</v>
      </c>
      <c r="I356" s="15" t="str">
        <f t="shared" si="3"/>
        <v>Matin</v>
      </c>
    </row>
    <row r="357" ht="14.25" customHeight="1">
      <c r="A357" s="39">
        <v>46149.0</v>
      </c>
      <c r="B357" s="36" t="s">
        <v>66</v>
      </c>
      <c r="C357" s="36" t="s">
        <v>24</v>
      </c>
      <c r="D357" s="37">
        <v>0.506944444444444</v>
      </c>
      <c r="E357" s="37">
        <v>0.513888888888889</v>
      </c>
      <c r="F357" s="38" t="str">
        <f t="shared" si="1"/>
        <v>10</v>
      </c>
      <c r="G357" s="8"/>
      <c r="H357" s="14" t="str">
        <f t="shared" si="2"/>
        <v>07/05</v>
      </c>
      <c r="I357" s="15" t="str">
        <f t="shared" si="3"/>
        <v>Matin</v>
      </c>
    </row>
    <row r="358" ht="14.25" customHeight="1">
      <c r="A358" s="39">
        <v>46149.0</v>
      </c>
      <c r="B358" s="36" t="s">
        <v>54</v>
      </c>
      <c r="C358" s="36" t="s">
        <v>24</v>
      </c>
      <c r="D358" s="37">
        <v>0.604861111111111</v>
      </c>
      <c r="E358" s="37">
        <v>0.631944444444444</v>
      </c>
      <c r="F358" s="38" t="str">
        <f t="shared" si="1"/>
        <v>39</v>
      </c>
      <c r="G358" s="8"/>
      <c r="H358" s="14" t="str">
        <f t="shared" si="2"/>
        <v>07/05</v>
      </c>
      <c r="I358" s="15" t="str">
        <f t="shared" si="3"/>
        <v>Après-midi</v>
      </c>
    </row>
    <row r="359" ht="14.25" customHeight="1">
      <c r="A359" s="39">
        <v>46149.0</v>
      </c>
      <c r="B359" s="36" t="s">
        <v>54</v>
      </c>
      <c r="C359" s="36" t="s">
        <v>24</v>
      </c>
      <c r="D359" s="37">
        <v>0.6875</v>
      </c>
      <c r="E359" s="37">
        <v>0.708333333333333</v>
      </c>
      <c r="F359" s="38" t="str">
        <f t="shared" si="1"/>
        <v>30</v>
      </c>
      <c r="G359" s="8"/>
      <c r="H359" s="14" t="str">
        <f t="shared" si="2"/>
        <v>07/05</v>
      </c>
      <c r="I359" s="15" t="str">
        <f t="shared" si="3"/>
        <v>Après-midi</v>
      </c>
    </row>
    <row r="360" ht="14.25" customHeight="1">
      <c r="A360" s="39">
        <v>46149.0</v>
      </c>
      <c r="B360" s="36" t="s">
        <v>54</v>
      </c>
      <c r="C360" s="36" t="s">
        <v>24</v>
      </c>
      <c r="D360" s="37">
        <v>0.719444444444444</v>
      </c>
      <c r="E360" s="37">
        <v>0.750694444444444</v>
      </c>
      <c r="F360" s="38" t="str">
        <f t="shared" si="1"/>
        <v>45</v>
      </c>
      <c r="G360" s="8"/>
      <c r="H360" s="14" t="str">
        <f t="shared" si="2"/>
        <v>07/05</v>
      </c>
      <c r="I360" s="15" t="str">
        <f t="shared" si="3"/>
        <v>Après-midi</v>
      </c>
    </row>
    <row r="361" ht="14.25" customHeight="1">
      <c r="A361" s="39">
        <v>46149.0</v>
      </c>
      <c r="B361" s="36" t="s">
        <v>54</v>
      </c>
      <c r="C361" s="36" t="s">
        <v>24</v>
      </c>
      <c r="D361" s="37">
        <v>0.851388888888889</v>
      </c>
      <c r="E361" s="37">
        <v>0.857638888888889</v>
      </c>
      <c r="F361" s="38" t="str">
        <f t="shared" si="1"/>
        <v>9</v>
      </c>
      <c r="G361" s="8"/>
      <c r="H361" s="14" t="str">
        <f t="shared" si="2"/>
        <v>07/05</v>
      </c>
      <c r="I361" s="15" t="str">
        <f t="shared" si="3"/>
        <v>Après-midi</v>
      </c>
    </row>
    <row r="362" ht="14.25" customHeight="1">
      <c r="A362" s="39">
        <v>46150.0</v>
      </c>
      <c r="B362" s="36" t="s">
        <v>54</v>
      </c>
      <c r="C362" s="36" t="s">
        <v>24</v>
      </c>
      <c r="D362" s="37">
        <v>0.638888888888889</v>
      </c>
      <c r="E362" s="37">
        <v>0.645833333333333</v>
      </c>
      <c r="F362" s="38" t="str">
        <f t="shared" si="1"/>
        <v>10</v>
      </c>
      <c r="G362" s="8"/>
      <c r="H362" s="14" t="str">
        <f t="shared" si="2"/>
        <v>08/05</v>
      </c>
      <c r="I362" s="15" t="str">
        <f t="shared" si="3"/>
        <v>Après-midi</v>
      </c>
    </row>
    <row r="363" ht="14.25" customHeight="1">
      <c r="A363" s="39">
        <v>46150.0</v>
      </c>
      <c r="B363" s="36" t="s">
        <v>54</v>
      </c>
      <c r="C363" s="36" t="s">
        <v>24</v>
      </c>
      <c r="D363" s="37">
        <v>0.740277777777778</v>
      </c>
      <c r="E363" s="37">
        <v>0.768055555555556</v>
      </c>
      <c r="F363" s="38" t="str">
        <f t="shared" si="1"/>
        <v>40</v>
      </c>
      <c r="G363" s="8"/>
      <c r="H363" s="14" t="str">
        <f t="shared" si="2"/>
        <v>08/05</v>
      </c>
      <c r="I363" s="15" t="str">
        <f t="shared" si="3"/>
        <v>Après-midi</v>
      </c>
    </row>
    <row r="364" ht="14.25" customHeight="1">
      <c r="A364" s="39">
        <v>46150.0</v>
      </c>
      <c r="B364" s="36" t="s">
        <v>54</v>
      </c>
      <c r="C364" s="36" t="s">
        <v>24</v>
      </c>
      <c r="D364" s="37">
        <v>0.872222222222222</v>
      </c>
      <c r="E364" s="37">
        <v>0.881944444444444</v>
      </c>
      <c r="F364" s="38" t="str">
        <f t="shared" si="1"/>
        <v>14</v>
      </c>
      <c r="G364" s="8"/>
      <c r="H364" s="14" t="str">
        <f t="shared" si="2"/>
        <v>08/05</v>
      </c>
      <c r="I364" s="15" t="str">
        <f t="shared" si="3"/>
        <v>Après-midi</v>
      </c>
    </row>
    <row r="365" ht="14.25" customHeight="1">
      <c r="A365" s="39">
        <v>46151.0</v>
      </c>
      <c r="B365" s="36" t="s">
        <v>66</v>
      </c>
      <c r="C365" s="36" t="s">
        <v>24</v>
      </c>
      <c r="D365" s="37">
        <v>0.333333333333333</v>
      </c>
      <c r="E365" s="37">
        <v>0.340277777777778</v>
      </c>
      <c r="F365" s="38" t="str">
        <f t="shared" si="1"/>
        <v>10</v>
      </c>
      <c r="G365" s="8"/>
      <c r="H365" s="14" t="str">
        <f t="shared" si="2"/>
        <v>09/05</v>
      </c>
      <c r="I365" s="15" t="str">
        <f t="shared" si="3"/>
        <v>Matin</v>
      </c>
    </row>
    <row r="366" ht="14.25" customHeight="1">
      <c r="A366" s="39">
        <v>46151.0</v>
      </c>
      <c r="B366" s="36" t="s">
        <v>66</v>
      </c>
      <c r="C366" s="36" t="s">
        <v>24</v>
      </c>
      <c r="D366" s="37">
        <v>0.4375</v>
      </c>
      <c r="E366" s="37">
        <v>0.458333333333333</v>
      </c>
      <c r="F366" s="38" t="str">
        <f t="shared" si="1"/>
        <v>30</v>
      </c>
      <c r="G366" s="8"/>
      <c r="H366" s="14" t="str">
        <f t="shared" si="2"/>
        <v>09/05</v>
      </c>
      <c r="I366" s="15" t="str">
        <f t="shared" si="3"/>
        <v>Matin</v>
      </c>
    </row>
    <row r="367" ht="14.25" customHeight="1">
      <c r="A367" s="39">
        <v>46151.0</v>
      </c>
      <c r="B367" s="36" t="s">
        <v>66</v>
      </c>
      <c r="C367" s="36" t="s">
        <v>24</v>
      </c>
      <c r="D367" s="37">
        <v>0.569444444444444</v>
      </c>
      <c r="E367" s="37">
        <v>0.59375</v>
      </c>
      <c r="F367" s="38" t="str">
        <f t="shared" si="1"/>
        <v>35</v>
      </c>
      <c r="G367" s="8"/>
      <c r="H367" s="14" t="str">
        <f t="shared" si="2"/>
        <v>09/05</v>
      </c>
      <c r="I367" s="15" t="str">
        <f t="shared" si="3"/>
        <v>Matin</v>
      </c>
    </row>
    <row r="368" ht="14.25" customHeight="1">
      <c r="A368" s="39">
        <v>46151.0</v>
      </c>
      <c r="B368" s="36" t="s">
        <v>54</v>
      </c>
      <c r="C368" s="36" t="s">
        <v>24</v>
      </c>
      <c r="D368" s="37">
        <v>0.702777777777778</v>
      </c>
      <c r="E368" s="37">
        <v>0.729166666666667</v>
      </c>
      <c r="F368" s="38" t="str">
        <f t="shared" si="1"/>
        <v>38</v>
      </c>
      <c r="G368" s="8"/>
      <c r="H368" s="14" t="str">
        <f t="shared" si="2"/>
        <v>09/05</v>
      </c>
      <c r="I368" s="15" t="str">
        <f t="shared" si="3"/>
        <v>Après-midi</v>
      </c>
    </row>
    <row r="369" ht="14.25" customHeight="1">
      <c r="A369" s="39">
        <v>46151.0</v>
      </c>
      <c r="B369" s="36" t="s">
        <v>54</v>
      </c>
      <c r="C369" s="36" t="s">
        <v>24</v>
      </c>
      <c r="D369" s="37">
        <v>0.854166666666667</v>
      </c>
      <c r="E369" s="37">
        <v>0.864583333333333</v>
      </c>
      <c r="F369" s="38" t="str">
        <f t="shared" si="1"/>
        <v>15</v>
      </c>
      <c r="G369" s="8"/>
      <c r="H369" s="14" t="str">
        <f t="shared" si="2"/>
        <v>09/05</v>
      </c>
      <c r="I369" s="15" t="str">
        <f t="shared" si="3"/>
        <v>Après-midi</v>
      </c>
    </row>
    <row r="370" ht="14.25" customHeight="1">
      <c r="A370" s="39">
        <v>46152.0</v>
      </c>
      <c r="B370" s="36" t="s">
        <v>54</v>
      </c>
      <c r="C370" s="36" t="s">
        <v>24</v>
      </c>
      <c r="D370" s="37">
        <v>0.340277777777778</v>
      </c>
      <c r="E370" s="37">
        <v>0.352777777777778</v>
      </c>
      <c r="F370" s="38" t="str">
        <f t="shared" si="1"/>
        <v>18</v>
      </c>
      <c r="G370" s="8"/>
      <c r="H370" s="14" t="str">
        <f t="shared" si="2"/>
        <v>10/05</v>
      </c>
      <c r="I370" s="15" t="str">
        <f t="shared" si="3"/>
        <v>Matin</v>
      </c>
    </row>
    <row r="371" ht="14.25" customHeight="1">
      <c r="A371" s="39">
        <v>46152.0</v>
      </c>
      <c r="B371" s="36" t="s">
        <v>54</v>
      </c>
      <c r="C371" s="36" t="s">
        <v>24</v>
      </c>
      <c r="D371" s="37">
        <v>0.440972222222222</v>
      </c>
      <c r="E371" s="37">
        <v>0.444444444444444</v>
      </c>
      <c r="F371" s="38" t="str">
        <f t="shared" si="1"/>
        <v>5</v>
      </c>
      <c r="G371" s="8"/>
      <c r="H371" s="14" t="str">
        <f t="shared" si="2"/>
        <v>10/05</v>
      </c>
      <c r="I371" s="15" t="str">
        <f t="shared" si="3"/>
        <v>Matin</v>
      </c>
    </row>
    <row r="372" ht="14.25" customHeight="1">
      <c r="A372" s="39">
        <v>46152.0</v>
      </c>
      <c r="B372" s="36" t="s">
        <v>54</v>
      </c>
      <c r="C372" s="36" t="s">
        <v>24</v>
      </c>
      <c r="D372" s="37">
        <v>0.527777777777778</v>
      </c>
      <c r="E372" s="37">
        <v>0.534722222222222</v>
      </c>
      <c r="F372" s="38" t="str">
        <f t="shared" si="1"/>
        <v>10</v>
      </c>
      <c r="G372" s="8"/>
      <c r="H372" s="14" t="str">
        <f t="shared" si="2"/>
        <v>10/05</v>
      </c>
      <c r="I372" s="15" t="str">
        <f t="shared" si="3"/>
        <v>Matin</v>
      </c>
    </row>
    <row r="373" ht="14.25" customHeight="1">
      <c r="A373" s="39">
        <v>46152.0</v>
      </c>
      <c r="B373" s="36" t="s">
        <v>54</v>
      </c>
      <c r="C373" s="36" t="s">
        <v>24</v>
      </c>
      <c r="D373" s="37">
        <v>0.555555555555556</v>
      </c>
      <c r="E373" s="37">
        <v>0.582638888888889</v>
      </c>
      <c r="F373" s="38" t="str">
        <f t="shared" si="1"/>
        <v>39</v>
      </c>
      <c r="G373" s="8"/>
      <c r="H373" s="14" t="str">
        <f t="shared" si="2"/>
        <v>10/05</v>
      </c>
      <c r="I373" s="15" t="str">
        <f t="shared" si="3"/>
        <v>Matin</v>
      </c>
    </row>
    <row r="374" ht="14.25" customHeight="1">
      <c r="A374" s="39">
        <v>46153.0</v>
      </c>
      <c r="B374" s="36" t="s">
        <v>54</v>
      </c>
      <c r="C374" s="36" t="s">
        <v>24</v>
      </c>
      <c r="D374" s="37">
        <v>0.338888888888889</v>
      </c>
      <c r="E374" s="37">
        <v>0.348611111111111</v>
      </c>
      <c r="F374" s="38" t="str">
        <f t="shared" si="1"/>
        <v>14</v>
      </c>
      <c r="G374" s="8"/>
      <c r="H374" s="14" t="str">
        <f t="shared" si="2"/>
        <v>11/05</v>
      </c>
      <c r="I374" s="15" t="str">
        <f t="shared" si="3"/>
        <v>Matin</v>
      </c>
    </row>
    <row r="375" ht="14.25" customHeight="1">
      <c r="A375" s="39">
        <v>46153.0</v>
      </c>
      <c r="B375" s="36" t="s">
        <v>54</v>
      </c>
      <c r="C375" s="36" t="s">
        <v>24</v>
      </c>
      <c r="D375" s="37">
        <v>0.447222222222222</v>
      </c>
      <c r="E375" s="37">
        <v>0.479166666666667</v>
      </c>
      <c r="F375" s="38" t="str">
        <f t="shared" si="1"/>
        <v>46</v>
      </c>
      <c r="G375" s="8"/>
      <c r="H375" s="14" t="str">
        <f t="shared" si="2"/>
        <v>11/05</v>
      </c>
      <c r="I375" s="15" t="str">
        <f t="shared" si="3"/>
        <v>Matin</v>
      </c>
    </row>
    <row r="376" ht="14.25" customHeight="1">
      <c r="A376" s="39">
        <v>46154.0</v>
      </c>
      <c r="B376" s="36" t="s">
        <v>54</v>
      </c>
      <c r="C376" s="36" t="s">
        <v>24</v>
      </c>
      <c r="D376" s="37">
        <v>0.336805555555556</v>
      </c>
      <c r="E376" s="37">
        <v>0.348611111111111</v>
      </c>
      <c r="F376" s="38" t="str">
        <f t="shared" si="1"/>
        <v>17</v>
      </c>
      <c r="G376" s="8"/>
      <c r="H376" s="14" t="str">
        <f t="shared" si="2"/>
        <v>12/05</v>
      </c>
      <c r="I376" s="15" t="str">
        <f t="shared" si="3"/>
        <v>Matin</v>
      </c>
    </row>
    <row r="377" ht="14.25" customHeight="1">
      <c r="A377" s="39">
        <v>46154.0</v>
      </c>
      <c r="B377" s="36" t="s">
        <v>54</v>
      </c>
      <c r="C377" s="36" t="s">
        <v>24</v>
      </c>
      <c r="D377" s="37">
        <v>0.463888888888889</v>
      </c>
      <c r="E377" s="37">
        <v>0.470833333333333</v>
      </c>
      <c r="F377" s="38" t="str">
        <f t="shared" si="1"/>
        <v>10</v>
      </c>
      <c r="G377" s="8"/>
      <c r="H377" s="14" t="str">
        <f t="shared" si="2"/>
        <v>12/05</v>
      </c>
      <c r="I377" s="15" t="str">
        <f t="shared" si="3"/>
        <v>Matin</v>
      </c>
    </row>
    <row r="378" ht="14.25" customHeight="1">
      <c r="A378" s="39">
        <v>46154.0</v>
      </c>
      <c r="B378" s="36" t="s">
        <v>54</v>
      </c>
      <c r="C378" s="36" t="s">
        <v>24</v>
      </c>
      <c r="D378" s="37">
        <v>0.525694444444445</v>
      </c>
      <c r="E378" s="37">
        <v>0.543055555555556</v>
      </c>
      <c r="F378" s="38" t="str">
        <f t="shared" si="1"/>
        <v>25</v>
      </c>
      <c r="G378" s="8"/>
      <c r="H378" s="14" t="str">
        <f t="shared" si="2"/>
        <v>12/05</v>
      </c>
      <c r="I378" s="15" t="str">
        <f t="shared" si="3"/>
        <v>Matin</v>
      </c>
    </row>
    <row r="379" ht="14.25" customHeight="1">
      <c r="A379" s="39">
        <v>46155.0</v>
      </c>
      <c r="B379" s="36" t="s">
        <v>54</v>
      </c>
      <c r="C379" s="36" t="s">
        <v>24</v>
      </c>
      <c r="D379" s="37">
        <v>0.333333333333333</v>
      </c>
      <c r="E379" s="37">
        <v>0.357638888888889</v>
      </c>
      <c r="F379" s="38" t="str">
        <f t="shared" si="1"/>
        <v>35</v>
      </c>
      <c r="G379" s="8"/>
      <c r="H379" s="14" t="str">
        <f t="shared" si="2"/>
        <v>13/05</v>
      </c>
      <c r="I379" s="15" t="str">
        <f t="shared" si="3"/>
        <v>Matin</v>
      </c>
    </row>
    <row r="380" ht="14.25" customHeight="1">
      <c r="A380" s="39">
        <v>46155.0</v>
      </c>
      <c r="B380" s="36" t="s">
        <v>54</v>
      </c>
      <c r="C380" s="36" t="s">
        <v>24</v>
      </c>
      <c r="D380" s="37">
        <v>0.472222222222222</v>
      </c>
      <c r="E380" s="37">
        <v>0.490277777777778</v>
      </c>
      <c r="F380" s="38" t="str">
        <f t="shared" si="1"/>
        <v>26</v>
      </c>
      <c r="G380" s="8"/>
      <c r="H380" s="14" t="str">
        <f t="shared" si="2"/>
        <v>13/05</v>
      </c>
      <c r="I380" s="15" t="str">
        <f t="shared" si="3"/>
        <v>Matin</v>
      </c>
    </row>
    <row r="381" ht="14.25" customHeight="1">
      <c r="A381" s="39">
        <v>46155.0</v>
      </c>
      <c r="B381" s="36" t="s">
        <v>54</v>
      </c>
      <c r="C381" s="36" t="s">
        <v>24</v>
      </c>
      <c r="D381" s="37">
        <v>0.495833333333333</v>
      </c>
      <c r="E381" s="37">
        <v>0.50625</v>
      </c>
      <c r="F381" s="38" t="str">
        <f t="shared" si="1"/>
        <v>15</v>
      </c>
      <c r="G381" s="8"/>
      <c r="H381" s="14" t="str">
        <f t="shared" si="2"/>
        <v>13/05</v>
      </c>
      <c r="I381" s="15" t="str">
        <f t="shared" si="3"/>
        <v>Matin</v>
      </c>
    </row>
    <row r="382" ht="14.25" customHeight="1">
      <c r="A382" s="39">
        <v>46156.0</v>
      </c>
      <c r="B382" s="36" t="s">
        <v>54</v>
      </c>
      <c r="C382" s="36" t="s">
        <v>24</v>
      </c>
      <c r="D382" s="37">
        <v>0.463194444444445</v>
      </c>
      <c r="E382" s="37">
        <v>0.4875</v>
      </c>
      <c r="F382" s="38" t="str">
        <f t="shared" si="1"/>
        <v>35</v>
      </c>
      <c r="G382" s="8"/>
      <c r="H382" s="14" t="str">
        <f t="shared" si="2"/>
        <v>14/05</v>
      </c>
      <c r="I382" s="15" t="str">
        <f t="shared" si="3"/>
        <v>Matin</v>
      </c>
    </row>
    <row r="383" ht="14.25" customHeight="1">
      <c r="A383" s="39">
        <v>46156.0</v>
      </c>
      <c r="B383" s="36" t="s">
        <v>54</v>
      </c>
      <c r="C383" s="36" t="s">
        <v>24</v>
      </c>
      <c r="D383" s="37">
        <v>0.497222222222222</v>
      </c>
      <c r="E383" s="37">
        <v>0.511111111111111</v>
      </c>
      <c r="F383" s="38" t="str">
        <f t="shared" si="1"/>
        <v>20</v>
      </c>
      <c r="G383" s="8"/>
      <c r="H383" s="14" t="str">
        <f t="shared" si="2"/>
        <v>14/05</v>
      </c>
      <c r="I383" s="15" t="str">
        <f t="shared" si="3"/>
        <v>Matin</v>
      </c>
    </row>
    <row r="384" ht="14.25" customHeight="1">
      <c r="A384" s="39">
        <v>46157.0</v>
      </c>
      <c r="B384" s="36" t="s">
        <v>54</v>
      </c>
      <c r="C384" s="36" t="s">
        <v>24</v>
      </c>
      <c r="D384" s="37">
        <v>0.340277777777778</v>
      </c>
      <c r="E384" s="37">
        <v>0.34375</v>
      </c>
      <c r="F384" s="38" t="str">
        <f t="shared" si="1"/>
        <v>5</v>
      </c>
      <c r="G384" s="8"/>
      <c r="H384" s="14" t="str">
        <f t="shared" si="2"/>
        <v>15/05</v>
      </c>
      <c r="I384" s="15" t="str">
        <f t="shared" si="3"/>
        <v>Matin</v>
      </c>
    </row>
    <row r="385" ht="14.25" customHeight="1">
      <c r="A385" s="39">
        <v>46157.0</v>
      </c>
      <c r="B385" s="36" t="s">
        <v>54</v>
      </c>
      <c r="C385" s="36" t="s">
        <v>24</v>
      </c>
      <c r="D385" s="37">
        <v>0.379861111111111</v>
      </c>
      <c r="E385" s="37">
        <v>0.506944444444444</v>
      </c>
      <c r="F385" s="38" t="str">
        <f t="shared" si="1"/>
        <v>183</v>
      </c>
      <c r="G385" s="8"/>
      <c r="H385" s="14" t="str">
        <f t="shared" si="2"/>
        <v>15/05</v>
      </c>
      <c r="I385" s="15" t="str">
        <f t="shared" si="3"/>
        <v>Matin</v>
      </c>
    </row>
    <row r="386" ht="14.25" customHeight="1">
      <c r="A386" s="39">
        <v>46157.0</v>
      </c>
      <c r="B386" s="36" t="s">
        <v>54</v>
      </c>
      <c r="C386" s="36" t="s">
        <v>24</v>
      </c>
      <c r="D386" s="37">
        <v>0.516666666666667</v>
      </c>
      <c r="E386" s="37">
        <v>0.541666666666667</v>
      </c>
      <c r="F386" s="38" t="str">
        <f t="shared" si="1"/>
        <v>36</v>
      </c>
      <c r="G386" s="8"/>
      <c r="H386" s="14" t="str">
        <f t="shared" si="2"/>
        <v>15/05</v>
      </c>
      <c r="I386" s="15" t="str">
        <f t="shared" si="3"/>
        <v>Matin</v>
      </c>
    </row>
    <row r="387" ht="14.25" customHeight="1">
      <c r="A387" s="39">
        <v>46158.0</v>
      </c>
      <c r="B387" s="36" t="s">
        <v>54</v>
      </c>
      <c r="C387" s="36" t="s">
        <v>24</v>
      </c>
      <c r="D387" s="37">
        <v>0.345138888888889</v>
      </c>
      <c r="E387" s="37">
        <v>0.368055555555556</v>
      </c>
      <c r="F387" s="38" t="str">
        <f t="shared" si="1"/>
        <v>33</v>
      </c>
      <c r="G387" s="8"/>
      <c r="H387" s="14" t="str">
        <f t="shared" si="2"/>
        <v>16/05</v>
      </c>
      <c r="I387" s="15" t="str">
        <f t="shared" si="3"/>
        <v>Matin</v>
      </c>
    </row>
    <row r="388" ht="14.25" customHeight="1">
      <c r="A388" s="39">
        <v>46158.0</v>
      </c>
      <c r="B388" s="36" t="s">
        <v>54</v>
      </c>
      <c r="C388" s="36" t="s">
        <v>24</v>
      </c>
      <c r="D388" s="37">
        <v>0.458333333333333</v>
      </c>
      <c r="E388" s="37">
        <v>0.520833333333333</v>
      </c>
      <c r="F388" s="38" t="str">
        <f t="shared" si="1"/>
        <v>90</v>
      </c>
      <c r="G388" s="8"/>
      <c r="H388" s="14" t="str">
        <f t="shared" si="2"/>
        <v>16/05</v>
      </c>
      <c r="I388" s="15" t="str">
        <f t="shared" si="3"/>
        <v>Matin</v>
      </c>
    </row>
    <row r="389" ht="14.25" customHeight="1">
      <c r="A389" s="39">
        <v>46160.0</v>
      </c>
      <c r="B389" s="36" t="s">
        <v>54</v>
      </c>
      <c r="C389" s="36" t="s">
        <v>24</v>
      </c>
      <c r="D389" s="37">
        <v>0.63125</v>
      </c>
      <c r="E389" s="37">
        <v>0.6625</v>
      </c>
      <c r="F389" s="38" t="str">
        <f t="shared" si="1"/>
        <v>45</v>
      </c>
      <c r="G389" s="8"/>
      <c r="H389" s="14" t="str">
        <f t="shared" si="2"/>
        <v>18/05</v>
      </c>
      <c r="I389" s="15" t="str">
        <f t="shared" si="3"/>
        <v>Après-midi</v>
      </c>
    </row>
    <row r="390" ht="14.25" customHeight="1">
      <c r="A390" s="39">
        <v>46160.0</v>
      </c>
      <c r="B390" s="36" t="s">
        <v>54</v>
      </c>
      <c r="C390" s="36" t="s">
        <v>24</v>
      </c>
      <c r="D390" s="37">
        <v>0.733333333333333</v>
      </c>
      <c r="E390" s="37">
        <v>0.761111111111111</v>
      </c>
      <c r="F390" s="38" t="str">
        <f t="shared" si="1"/>
        <v>40</v>
      </c>
      <c r="G390" s="8"/>
      <c r="H390" s="14" t="str">
        <f t="shared" si="2"/>
        <v>18/05</v>
      </c>
      <c r="I390" s="15" t="str">
        <f t="shared" si="3"/>
        <v>Après-midi</v>
      </c>
    </row>
    <row r="391" ht="14.25" customHeight="1">
      <c r="A391" s="39">
        <v>46160.0</v>
      </c>
      <c r="B391" s="36" t="s">
        <v>54</v>
      </c>
      <c r="C391" s="36" t="s">
        <v>24</v>
      </c>
      <c r="D391" s="37">
        <v>0.840972222222222</v>
      </c>
      <c r="E391" s="37">
        <v>0.845138888888889</v>
      </c>
      <c r="F391" s="38" t="str">
        <f t="shared" si="1"/>
        <v>6</v>
      </c>
      <c r="G391" s="8"/>
      <c r="H391" s="14" t="str">
        <f t="shared" si="2"/>
        <v>18/05</v>
      </c>
      <c r="I391" s="15" t="str">
        <f t="shared" si="3"/>
        <v>Après-midi</v>
      </c>
    </row>
    <row r="392" ht="14.25" customHeight="1">
      <c r="A392" s="39">
        <v>46161.0</v>
      </c>
      <c r="B392" s="36" t="s">
        <v>54</v>
      </c>
      <c r="C392" s="36" t="s">
        <v>24</v>
      </c>
      <c r="D392" s="37">
        <v>0.63125</v>
      </c>
      <c r="E392" s="37">
        <v>0.648611111111111</v>
      </c>
      <c r="F392" s="38" t="str">
        <f t="shared" si="1"/>
        <v>25</v>
      </c>
      <c r="G392" s="8"/>
      <c r="H392" s="14" t="str">
        <f t="shared" si="2"/>
        <v>19/05</v>
      </c>
      <c r="I392" s="15" t="str">
        <f t="shared" si="3"/>
        <v>Après-midi</v>
      </c>
    </row>
    <row r="393" ht="14.25" customHeight="1">
      <c r="A393" s="39">
        <v>46161.0</v>
      </c>
      <c r="B393" s="36" t="s">
        <v>54</v>
      </c>
      <c r="C393" s="36" t="s">
        <v>24</v>
      </c>
      <c r="D393" s="37">
        <v>0.731944444444444</v>
      </c>
      <c r="E393" s="37">
        <v>0.736111111111111</v>
      </c>
      <c r="F393" s="38" t="str">
        <f t="shared" si="1"/>
        <v>6</v>
      </c>
      <c r="G393" s="8"/>
      <c r="H393" s="14" t="str">
        <f t="shared" si="2"/>
        <v>19/05</v>
      </c>
      <c r="I393" s="15" t="str">
        <f t="shared" si="3"/>
        <v>Après-midi</v>
      </c>
    </row>
    <row r="394" ht="14.25" customHeight="1">
      <c r="A394" s="39">
        <v>46161.0</v>
      </c>
      <c r="B394" s="36" t="s">
        <v>54</v>
      </c>
      <c r="C394" s="36" t="s">
        <v>24</v>
      </c>
      <c r="D394" s="37">
        <v>0.770833333333333</v>
      </c>
      <c r="E394" s="37">
        <v>0.78125</v>
      </c>
      <c r="F394" s="38" t="str">
        <f t="shared" si="1"/>
        <v>15</v>
      </c>
      <c r="G394" s="8"/>
      <c r="H394" s="14" t="str">
        <f t="shared" si="2"/>
        <v>19/05</v>
      </c>
      <c r="I394" s="15" t="str">
        <f t="shared" si="3"/>
        <v>Après-midi</v>
      </c>
    </row>
    <row r="395" ht="14.25" customHeight="1">
      <c r="A395" s="39">
        <v>46163.0</v>
      </c>
      <c r="B395" s="36" t="s">
        <v>66</v>
      </c>
      <c r="C395" s="36" t="s">
        <v>24</v>
      </c>
      <c r="D395" s="37">
        <v>0.305555555555556</v>
      </c>
      <c r="E395" s="37">
        <v>0.3125</v>
      </c>
      <c r="F395" s="38" t="str">
        <f t="shared" si="1"/>
        <v>10</v>
      </c>
      <c r="G395" s="8"/>
      <c r="H395" s="14" t="str">
        <f t="shared" si="2"/>
        <v>21/05</v>
      </c>
      <c r="I395" s="15" t="str">
        <f t="shared" si="3"/>
        <v>Matin</v>
      </c>
    </row>
    <row r="396" ht="14.25" customHeight="1">
      <c r="A396" s="39">
        <v>46163.0</v>
      </c>
      <c r="B396" s="36" t="s">
        <v>66</v>
      </c>
      <c r="C396" s="36" t="s">
        <v>24</v>
      </c>
      <c r="D396" s="37">
        <v>0.354166666666667</v>
      </c>
      <c r="E396" s="37">
        <v>0.361111111111111</v>
      </c>
      <c r="F396" s="38" t="str">
        <f t="shared" si="1"/>
        <v>10</v>
      </c>
      <c r="G396" s="8"/>
      <c r="H396" s="14" t="str">
        <f t="shared" si="2"/>
        <v>21/05</v>
      </c>
      <c r="I396" s="15" t="str">
        <f t="shared" si="3"/>
        <v>Matin</v>
      </c>
    </row>
    <row r="397" ht="14.25" customHeight="1">
      <c r="A397" s="39">
        <v>46163.0</v>
      </c>
      <c r="B397" s="36" t="s">
        <v>66</v>
      </c>
      <c r="C397" s="36" t="s">
        <v>24</v>
      </c>
      <c r="D397" s="37">
        <v>0.375</v>
      </c>
      <c r="E397" s="37">
        <v>0.392361111111111</v>
      </c>
      <c r="F397" s="38" t="str">
        <f t="shared" si="1"/>
        <v>25</v>
      </c>
      <c r="G397" s="8"/>
      <c r="H397" s="14" t="str">
        <f t="shared" si="2"/>
        <v>21/05</v>
      </c>
      <c r="I397" s="15" t="str">
        <f t="shared" si="3"/>
        <v>Matin</v>
      </c>
    </row>
    <row r="398" ht="14.25" customHeight="1">
      <c r="A398" s="39">
        <v>46163.0</v>
      </c>
      <c r="B398" s="36" t="s">
        <v>66</v>
      </c>
      <c r="C398" s="36" t="s">
        <v>24</v>
      </c>
      <c r="D398" s="37">
        <v>0.472222222222222</v>
      </c>
      <c r="E398" s="37">
        <v>0.489583333333333</v>
      </c>
      <c r="F398" s="38" t="str">
        <f t="shared" si="1"/>
        <v>25</v>
      </c>
      <c r="G398" s="8"/>
      <c r="H398" s="14" t="str">
        <f t="shared" si="2"/>
        <v>21/05</v>
      </c>
      <c r="I398" s="15" t="str">
        <f t="shared" si="3"/>
        <v>Matin</v>
      </c>
    </row>
    <row r="399" ht="14.25" customHeight="1">
      <c r="A399" s="39">
        <v>46163.0</v>
      </c>
      <c r="B399" s="36" t="s">
        <v>66</v>
      </c>
      <c r="C399" s="36" t="s">
        <v>24</v>
      </c>
      <c r="D399" s="37">
        <v>0.576388888888889</v>
      </c>
      <c r="E399" s="37">
        <v>0.625</v>
      </c>
      <c r="F399" s="38" t="str">
        <f t="shared" si="1"/>
        <v>70</v>
      </c>
      <c r="G399" s="8"/>
      <c r="H399" s="14" t="str">
        <f t="shared" si="2"/>
        <v>21/05</v>
      </c>
      <c r="I399" s="15" t="str">
        <f t="shared" si="3"/>
        <v>Matin</v>
      </c>
    </row>
    <row r="400" ht="14.25" customHeight="1">
      <c r="A400" s="39">
        <v>46163.0</v>
      </c>
      <c r="B400" s="36" t="s">
        <v>54</v>
      </c>
      <c r="C400" s="36" t="s">
        <v>24</v>
      </c>
      <c r="D400" s="37">
        <v>0.652777777777778</v>
      </c>
      <c r="E400" s="37">
        <v>0.65625</v>
      </c>
      <c r="F400" s="38" t="str">
        <f t="shared" si="1"/>
        <v>5</v>
      </c>
      <c r="G400" s="8"/>
      <c r="H400" s="14" t="str">
        <f t="shared" si="2"/>
        <v>21/05</v>
      </c>
      <c r="I400" s="15" t="str">
        <f t="shared" si="3"/>
        <v>Après-midi</v>
      </c>
    </row>
    <row r="401" ht="14.25" customHeight="1">
      <c r="A401" s="39">
        <v>46163.0</v>
      </c>
      <c r="B401" s="36" t="s">
        <v>54</v>
      </c>
      <c r="C401" s="36" t="s">
        <v>24</v>
      </c>
      <c r="D401" s="37">
        <v>0.69375</v>
      </c>
      <c r="E401" s="37">
        <v>0.701388888888889</v>
      </c>
      <c r="F401" s="38" t="str">
        <f t="shared" si="1"/>
        <v>11</v>
      </c>
      <c r="G401" s="8"/>
      <c r="H401" s="14" t="str">
        <f t="shared" si="2"/>
        <v>21/05</v>
      </c>
      <c r="I401" s="15" t="str">
        <f t="shared" si="3"/>
        <v>Après-midi</v>
      </c>
    </row>
    <row r="402" ht="14.25" customHeight="1">
      <c r="A402" s="39">
        <v>46163.0</v>
      </c>
      <c r="B402" s="36" t="s">
        <v>54</v>
      </c>
      <c r="C402" s="36" t="s">
        <v>24</v>
      </c>
      <c r="D402" s="37">
        <v>0.783333333333333</v>
      </c>
      <c r="E402" s="37">
        <v>0.788194444444444</v>
      </c>
      <c r="F402" s="38" t="str">
        <f t="shared" si="1"/>
        <v>7</v>
      </c>
      <c r="G402" s="8"/>
      <c r="H402" s="14" t="str">
        <f t="shared" si="2"/>
        <v>21/05</v>
      </c>
      <c r="I402" s="15" t="str">
        <f t="shared" si="3"/>
        <v>Après-midi</v>
      </c>
    </row>
    <row r="403" ht="14.25" customHeight="1">
      <c r="A403" s="39">
        <v>46163.0</v>
      </c>
      <c r="B403" s="36" t="s">
        <v>54</v>
      </c>
      <c r="C403" s="36" t="s">
        <v>24</v>
      </c>
      <c r="D403" s="37">
        <v>0.836805555555556</v>
      </c>
      <c r="E403" s="37">
        <v>0.871527777777778</v>
      </c>
      <c r="F403" s="38" t="str">
        <f t="shared" si="1"/>
        <v>50</v>
      </c>
      <c r="G403" s="8"/>
      <c r="H403" s="14" t="str">
        <f t="shared" si="2"/>
        <v>21/05</v>
      </c>
      <c r="I403" s="15" t="str">
        <f t="shared" si="3"/>
        <v>Après-midi</v>
      </c>
    </row>
    <row r="404" ht="14.25" customHeight="1">
      <c r="A404" s="39">
        <v>46164.0</v>
      </c>
      <c r="B404" s="36" t="s">
        <v>66</v>
      </c>
      <c r="C404" s="36" t="s">
        <v>24</v>
      </c>
      <c r="D404" s="37">
        <v>0.46875</v>
      </c>
      <c r="E404" s="37">
        <v>0.527777777777778</v>
      </c>
      <c r="F404" s="38" t="str">
        <f t="shared" si="1"/>
        <v>85</v>
      </c>
      <c r="G404" s="8"/>
      <c r="H404" s="14" t="str">
        <f t="shared" si="2"/>
        <v>22/05</v>
      </c>
      <c r="I404" s="15" t="str">
        <f t="shared" si="3"/>
        <v>Matin</v>
      </c>
    </row>
    <row r="405" ht="14.25" customHeight="1">
      <c r="A405" s="39">
        <v>46164.0</v>
      </c>
      <c r="B405" s="36" t="s">
        <v>66</v>
      </c>
      <c r="C405" s="36" t="s">
        <v>24</v>
      </c>
      <c r="D405" s="37">
        <v>0.611111111111111</v>
      </c>
      <c r="E405" s="37">
        <v>0.642361111111111</v>
      </c>
      <c r="F405" s="38" t="str">
        <f t="shared" si="1"/>
        <v>45</v>
      </c>
      <c r="G405" s="8"/>
      <c r="H405" s="14" t="str">
        <f t="shared" si="2"/>
        <v>22/05</v>
      </c>
      <c r="I405" s="15" t="str">
        <f t="shared" si="3"/>
        <v>Après-midi</v>
      </c>
    </row>
    <row r="406" ht="14.25" customHeight="1">
      <c r="A406" s="39">
        <v>46164.0</v>
      </c>
      <c r="B406" s="36" t="s">
        <v>54</v>
      </c>
      <c r="C406" s="36" t="s">
        <v>24</v>
      </c>
      <c r="D406" s="37">
        <v>0.715277777777778</v>
      </c>
      <c r="E406" s="37">
        <v>0.722222222222222</v>
      </c>
      <c r="F406" s="38" t="str">
        <f t="shared" si="1"/>
        <v>10</v>
      </c>
      <c r="G406" s="8"/>
      <c r="H406" s="14" t="str">
        <f t="shared" si="2"/>
        <v>22/05</v>
      </c>
      <c r="I406" s="15" t="str">
        <f t="shared" si="3"/>
        <v>Après-midi</v>
      </c>
    </row>
    <row r="407" ht="14.25" customHeight="1">
      <c r="A407" s="39">
        <v>46164.0</v>
      </c>
      <c r="B407" s="36" t="s">
        <v>54</v>
      </c>
      <c r="C407" s="36" t="s">
        <v>24</v>
      </c>
      <c r="D407" s="37">
        <v>0.75</v>
      </c>
      <c r="E407" s="37">
        <v>0.760416666666667</v>
      </c>
      <c r="F407" s="38" t="str">
        <f t="shared" si="1"/>
        <v>15</v>
      </c>
      <c r="G407" s="8"/>
      <c r="H407" s="14" t="str">
        <f t="shared" si="2"/>
        <v>22/05</v>
      </c>
      <c r="I407" s="15" t="str">
        <f t="shared" si="3"/>
        <v>Après-midi</v>
      </c>
    </row>
    <row r="408" ht="14.25" customHeight="1">
      <c r="A408" s="39">
        <v>46164.0</v>
      </c>
      <c r="B408" s="36" t="s">
        <v>54</v>
      </c>
      <c r="C408" s="36" t="s">
        <v>24</v>
      </c>
      <c r="D408" s="37">
        <v>0.840277777777778</v>
      </c>
      <c r="E408" s="37">
        <v>0.847222222222222</v>
      </c>
      <c r="F408" s="38" t="str">
        <f t="shared" si="1"/>
        <v>10</v>
      </c>
      <c r="G408" s="8"/>
      <c r="H408" s="14" t="str">
        <f t="shared" si="2"/>
        <v>22/05</v>
      </c>
      <c r="I408" s="15" t="str">
        <f t="shared" si="3"/>
        <v>Après-midi</v>
      </c>
    </row>
    <row r="409" ht="14.25" customHeight="1">
      <c r="A409" s="39">
        <v>46164.0</v>
      </c>
      <c r="B409" s="36" t="s">
        <v>66</v>
      </c>
      <c r="C409" s="36" t="s">
        <v>24</v>
      </c>
      <c r="D409" s="37">
        <v>0.333333333333333</v>
      </c>
      <c r="E409" s="37">
        <v>0.347916666666667</v>
      </c>
      <c r="F409" s="38" t="str">
        <f t="shared" si="1"/>
        <v>21</v>
      </c>
      <c r="G409" s="8"/>
      <c r="H409" s="14" t="str">
        <f t="shared" si="2"/>
        <v>22/05</v>
      </c>
      <c r="I409" s="15" t="str">
        <f t="shared" si="3"/>
        <v>Matin</v>
      </c>
    </row>
    <row r="410" ht="14.25" customHeight="1">
      <c r="A410" s="39">
        <v>46164.0</v>
      </c>
      <c r="B410" s="36" t="s">
        <v>66</v>
      </c>
      <c r="C410" s="36" t="s">
        <v>24</v>
      </c>
      <c r="D410" s="37">
        <v>0.486111111111111</v>
      </c>
      <c r="E410" s="37">
        <v>0.493055555555556</v>
      </c>
      <c r="F410" s="38" t="str">
        <f t="shared" si="1"/>
        <v>10</v>
      </c>
      <c r="G410" s="8"/>
      <c r="H410" s="14" t="str">
        <f t="shared" si="2"/>
        <v>22/05</v>
      </c>
      <c r="I410" s="15" t="str">
        <f t="shared" si="3"/>
        <v>Matin</v>
      </c>
    </row>
    <row r="411" ht="14.25" customHeight="1">
      <c r="A411" s="39">
        <v>46165.0</v>
      </c>
      <c r="B411" s="36" t="s">
        <v>54</v>
      </c>
      <c r="C411" s="36" t="s">
        <v>24</v>
      </c>
      <c r="D411" s="37">
        <v>0.747916666666667</v>
      </c>
      <c r="E411" s="37">
        <v>0.761805555555556</v>
      </c>
      <c r="F411" s="38" t="str">
        <f t="shared" si="1"/>
        <v>20</v>
      </c>
      <c r="G411" s="8"/>
      <c r="H411" s="14" t="str">
        <f t="shared" si="2"/>
        <v>23/05</v>
      </c>
      <c r="I411" s="15" t="str">
        <f t="shared" si="3"/>
        <v>Après-midi</v>
      </c>
    </row>
    <row r="412" ht="14.25" customHeight="1">
      <c r="A412" s="39">
        <v>46165.0</v>
      </c>
      <c r="B412" s="36" t="s">
        <v>54</v>
      </c>
      <c r="C412" s="36" t="s">
        <v>24</v>
      </c>
      <c r="D412" s="37">
        <v>0.868055555555556</v>
      </c>
      <c r="E412" s="37">
        <v>0.881944444444444</v>
      </c>
      <c r="F412" s="38" t="str">
        <f t="shared" si="1"/>
        <v>20</v>
      </c>
      <c r="G412" s="8"/>
      <c r="H412" s="14" t="str">
        <f t="shared" si="2"/>
        <v>23/05</v>
      </c>
      <c r="I412" s="15" t="str">
        <f t="shared" si="3"/>
        <v>Après-midi</v>
      </c>
    </row>
    <row r="413" ht="14.25" customHeight="1">
      <c r="A413" s="39">
        <v>46166.0</v>
      </c>
      <c r="B413" s="36" t="s">
        <v>54</v>
      </c>
      <c r="C413" s="36" t="s">
        <v>24</v>
      </c>
      <c r="D413" s="37">
        <v>0.334027777777778</v>
      </c>
      <c r="E413" s="37">
        <v>0.340277777777778</v>
      </c>
      <c r="F413" s="38" t="str">
        <f t="shared" si="1"/>
        <v>9</v>
      </c>
      <c r="G413" s="8"/>
      <c r="H413" s="14" t="str">
        <f t="shared" si="2"/>
        <v>24/05</v>
      </c>
      <c r="I413" s="15" t="str">
        <f t="shared" si="3"/>
        <v>Matin</v>
      </c>
    </row>
    <row r="414" ht="14.25" customHeight="1">
      <c r="A414" s="39">
        <v>46166.0</v>
      </c>
      <c r="B414" s="36" t="s">
        <v>54</v>
      </c>
      <c r="C414" s="36" t="s">
        <v>24</v>
      </c>
      <c r="D414" s="37">
        <v>0.444444444444444</v>
      </c>
      <c r="E414" s="37">
        <v>0.449305555555556</v>
      </c>
      <c r="F414" s="38" t="str">
        <f t="shared" si="1"/>
        <v>7</v>
      </c>
      <c r="G414" s="8"/>
      <c r="H414" s="14" t="str">
        <f t="shared" si="2"/>
        <v>24/05</v>
      </c>
      <c r="I414" s="15" t="str">
        <f t="shared" si="3"/>
        <v>Matin</v>
      </c>
    </row>
    <row r="415" ht="14.25" customHeight="1">
      <c r="A415" s="39">
        <v>46166.0</v>
      </c>
      <c r="B415" s="36" t="s">
        <v>54</v>
      </c>
      <c r="C415" s="36" t="s">
        <v>24</v>
      </c>
      <c r="D415" s="37">
        <v>0.509027777777778</v>
      </c>
      <c r="E415" s="37">
        <v>0.517361111111111</v>
      </c>
      <c r="F415" s="38" t="str">
        <f t="shared" si="1"/>
        <v>12</v>
      </c>
      <c r="G415" s="8"/>
      <c r="H415" s="14" t="str">
        <f t="shared" si="2"/>
        <v>24/05</v>
      </c>
      <c r="I415" s="15" t="str">
        <f t="shared" si="3"/>
        <v>Matin</v>
      </c>
    </row>
    <row r="416" ht="14.25" customHeight="1">
      <c r="A416" s="39">
        <v>46166.0</v>
      </c>
      <c r="B416" s="36" t="s">
        <v>66</v>
      </c>
      <c r="C416" s="36" t="s">
        <v>24</v>
      </c>
      <c r="D416" s="37">
        <v>0.274305555555556</v>
      </c>
      <c r="E416" s="37">
        <v>0.28125</v>
      </c>
      <c r="F416" s="38" t="str">
        <f t="shared" si="1"/>
        <v>10</v>
      </c>
      <c r="G416" s="8"/>
      <c r="H416" s="14" t="str">
        <f t="shared" si="2"/>
        <v>24/05</v>
      </c>
      <c r="I416" s="15" t="str">
        <f t="shared" si="3"/>
        <v>Matin</v>
      </c>
    </row>
    <row r="417" ht="14.25" customHeight="1">
      <c r="A417" s="39">
        <v>46166.0</v>
      </c>
      <c r="B417" s="36" t="s">
        <v>66</v>
      </c>
      <c r="C417" s="36" t="s">
        <v>24</v>
      </c>
      <c r="D417" s="37">
        <v>0.284027777777778</v>
      </c>
      <c r="E417" s="37">
        <v>0.318055555555556</v>
      </c>
      <c r="F417" s="38" t="str">
        <f t="shared" si="1"/>
        <v>49</v>
      </c>
      <c r="G417" s="8"/>
      <c r="H417" s="14" t="str">
        <f t="shared" si="2"/>
        <v>24/05</v>
      </c>
      <c r="I417" s="15" t="str">
        <f t="shared" si="3"/>
        <v>Matin</v>
      </c>
    </row>
    <row r="418" ht="14.25" customHeight="1">
      <c r="A418" s="39">
        <v>46166.0</v>
      </c>
      <c r="B418" s="36" t="s">
        <v>66</v>
      </c>
      <c r="C418" s="36" t="s">
        <v>24</v>
      </c>
      <c r="D418" s="37">
        <v>0.333333333333333</v>
      </c>
      <c r="E418" s="37">
        <v>0.340277777777778</v>
      </c>
      <c r="F418" s="38" t="str">
        <f t="shared" si="1"/>
        <v>10</v>
      </c>
      <c r="G418" s="8"/>
      <c r="H418" s="14" t="str">
        <f t="shared" si="2"/>
        <v>24/05</v>
      </c>
      <c r="I418" s="15" t="str">
        <f t="shared" si="3"/>
        <v>Matin</v>
      </c>
    </row>
    <row r="419" ht="14.25" customHeight="1">
      <c r="A419" s="39">
        <v>46166.0</v>
      </c>
      <c r="B419" s="36" t="s">
        <v>66</v>
      </c>
      <c r="C419" s="36" t="s">
        <v>24</v>
      </c>
      <c r="D419" s="37">
        <v>0.366666666666667</v>
      </c>
      <c r="E419" s="37">
        <v>0.371527777777778</v>
      </c>
      <c r="F419" s="38" t="str">
        <f t="shared" si="1"/>
        <v>7</v>
      </c>
      <c r="G419" s="8"/>
      <c r="H419" s="14" t="str">
        <f t="shared" si="2"/>
        <v>24/05</v>
      </c>
      <c r="I419" s="15" t="str">
        <f t="shared" si="3"/>
        <v>Matin</v>
      </c>
    </row>
    <row r="420" ht="14.25" customHeight="1">
      <c r="A420" s="39">
        <v>46166.0</v>
      </c>
      <c r="B420" s="36" t="s">
        <v>66</v>
      </c>
      <c r="C420" s="36" t="s">
        <v>24</v>
      </c>
      <c r="D420" s="37">
        <v>0.482638888888889</v>
      </c>
      <c r="E420" s="37">
        <v>0.486111111111111</v>
      </c>
      <c r="F420" s="38" t="str">
        <f t="shared" si="1"/>
        <v>5</v>
      </c>
      <c r="G420" s="8"/>
      <c r="H420" s="14" t="str">
        <f t="shared" si="2"/>
        <v>24/05</v>
      </c>
      <c r="I420" s="15" t="str">
        <f t="shared" si="3"/>
        <v>Matin</v>
      </c>
    </row>
    <row r="421" ht="14.25" customHeight="1">
      <c r="A421" s="39">
        <v>46166.0</v>
      </c>
      <c r="B421" s="36" t="s">
        <v>66</v>
      </c>
      <c r="C421" s="36" t="s">
        <v>24</v>
      </c>
      <c r="D421" s="37">
        <v>0.534027777777778</v>
      </c>
      <c r="E421" s="37">
        <v>0.541666666666667</v>
      </c>
      <c r="F421" s="38" t="str">
        <f t="shared" si="1"/>
        <v>11</v>
      </c>
      <c r="G421" s="8"/>
      <c r="H421" s="14" t="str">
        <f t="shared" si="2"/>
        <v>24/05</v>
      </c>
      <c r="I421" s="15" t="str">
        <f t="shared" si="3"/>
        <v>Matin</v>
      </c>
    </row>
    <row r="422" ht="14.25" customHeight="1">
      <c r="A422" s="39">
        <v>46166.0</v>
      </c>
      <c r="B422" s="36" t="s">
        <v>66</v>
      </c>
      <c r="C422" s="36" t="s">
        <v>24</v>
      </c>
      <c r="D422" s="37">
        <v>0.559027777777778</v>
      </c>
      <c r="E422" s="37">
        <v>0.583333333333333</v>
      </c>
      <c r="F422" s="38" t="str">
        <f t="shared" si="1"/>
        <v>35</v>
      </c>
      <c r="G422" s="8"/>
      <c r="H422" s="14" t="str">
        <f t="shared" si="2"/>
        <v>24/05</v>
      </c>
      <c r="I422" s="15" t="str">
        <f t="shared" si="3"/>
        <v>Matin</v>
      </c>
    </row>
    <row r="423" ht="14.25" customHeight="1">
      <c r="A423" s="39">
        <v>46166.0</v>
      </c>
      <c r="B423" s="36" t="s">
        <v>54</v>
      </c>
      <c r="C423" s="36" t="s">
        <v>24</v>
      </c>
      <c r="D423" s="37">
        <v>0.684027777777778</v>
      </c>
      <c r="E423" s="37">
        <v>0.6875</v>
      </c>
      <c r="F423" s="38" t="str">
        <f t="shared" si="1"/>
        <v>5</v>
      </c>
      <c r="G423" s="8"/>
      <c r="H423" s="14" t="str">
        <f t="shared" si="2"/>
        <v>24/05</v>
      </c>
      <c r="I423" s="15" t="str">
        <f t="shared" si="3"/>
        <v>Après-midi</v>
      </c>
    </row>
    <row r="424" ht="14.25" customHeight="1">
      <c r="A424" s="39">
        <v>46166.0</v>
      </c>
      <c r="B424" s="36" t="s">
        <v>54</v>
      </c>
      <c r="C424" s="36" t="s">
        <v>24</v>
      </c>
      <c r="D424" s="37">
        <v>0.791666666666667</v>
      </c>
      <c r="E424" s="37">
        <v>0.8125</v>
      </c>
      <c r="F424" s="38" t="str">
        <f t="shared" si="1"/>
        <v>30</v>
      </c>
      <c r="G424" s="8"/>
      <c r="H424" s="14" t="str">
        <f t="shared" si="2"/>
        <v>24/05</v>
      </c>
      <c r="I424" s="15" t="str">
        <f t="shared" si="3"/>
        <v>Après-midi</v>
      </c>
    </row>
    <row r="425" ht="14.25" customHeight="1">
      <c r="A425" s="39">
        <v>46167.0</v>
      </c>
      <c r="B425" s="36" t="s">
        <v>66</v>
      </c>
      <c r="C425" s="36" t="s">
        <v>24</v>
      </c>
      <c r="D425" s="37">
        <v>0.3</v>
      </c>
      <c r="E425" s="37">
        <v>0.315972222222222</v>
      </c>
      <c r="F425" s="38" t="str">
        <f t="shared" si="1"/>
        <v>23</v>
      </c>
      <c r="G425" s="8"/>
      <c r="H425" s="14" t="str">
        <f t="shared" si="2"/>
        <v>25/05</v>
      </c>
      <c r="I425" s="15" t="str">
        <f t="shared" si="3"/>
        <v>Matin</v>
      </c>
    </row>
    <row r="426" ht="14.25" customHeight="1">
      <c r="A426" s="39">
        <v>46167.0</v>
      </c>
      <c r="B426" s="36" t="s">
        <v>66</v>
      </c>
      <c r="C426" s="36" t="s">
        <v>24</v>
      </c>
      <c r="D426" s="37">
        <v>0.326388888888889</v>
      </c>
      <c r="E426" s="37">
        <v>0.335416666666667</v>
      </c>
      <c r="F426" s="38" t="str">
        <f t="shared" si="1"/>
        <v>13</v>
      </c>
      <c r="G426" s="8"/>
      <c r="H426" s="14" t="str">
        <f t="shared" si="2"/>
        <v>25/05</v>
      </c>
      <c r="I426" s="15" t="str">
        <f t="shared" si="3"/>
        <v>Matin</v>
      </c>
    </row>
    <row r="427" ht="14.25" customHeight="1">
      <c r="A427" s="39">
        <v>46167.0</v>
      </c>
      <c r="B427" s="36" t="s">
        <v>66</v>
      </c>
      <c r="C427" s="36" t="s">
        <v>24</v>
      </c>
      <c r="D427" s="37">
        <v>0.458333333333333</v>
      </c>
      <c r="E427" s="37">
        <v>0.486805555555556</v>
      </c>
      <c r="F427" s="38" t="str">
        <f t="shared" si="1"/>
        <v>41</v>
      </c>
      <c r="G427" s="8"/>
      <c r="H427" s="14" t="str">
        <f t="shared" si="2"/>
        <v>25/05</v>
      </c>
      <c r="I427" s="15" t="str">
        <f t="shared" si="3"/>
        <v>Matin</v>
      </c>
    </row>
    <row r="428" ht="14.25" customHeight="1">
      <c r="A428" s="39">
        <v>46167.0</v>
      </c>
      <c r="B428" s="36" t="s">
        <v>66</v>
      </c>
      <c r="C428" s="36" t="s">
        <v>24</v>
      </c>
      <c r="D428" s="37">
        <v>0.548611111111111</v>
      </c>
      <c r="E428" s="37">
        <v>0.555555555555556</v>
      </c>
      <c r="F428" s="38" t="str">
        <f t="shared" si="1"/>
        <v>10</v>
      </c>
      <c r="G428" s="8"/>
      <c r="H428" s="14" t="str">
        <f t="shared" si="2"/>
        <v>25/05</v>
      </c>
      <c r="I428" s="15" t="str">
        <f t="shared" si="3"/>
        <v>Matin</v>
      </c>
    </row>
    <row r="429" ht="14.25" customHeight="1">
      <c r="A429" s="39">
        <v>46167.0</v>
      </c>
      <c r="B429" s="36" t="s">
        <v>54</v>
      </c>
      <c r="C429" s="36" t="s">
        <v>24</v>
      </c>
      <c r="D429" s="37">
        <v>0.6875</v>
      </c>
      <c r="E429" s="37">
        <v>0.701388888888889</v>
      </c>
      <c r="F429" s="38" t="str">
        <f t="shared" si="1"/>
        <v>20</v>
      </c>
      <c r="G429" s="8"/>
      <c r="H429" s="14" t="str">
        <f t="shared" si="2"/>
        <v>25/05</v>
      </c>
      <c r="I429" s="15" t="str">
        <f t="shared" si="3"/>
        <v>Après-midi</v>
      </c>
    </row>
    <row r="430" ht="14.25" customHeight="1">
      <c r="A430" s="39">
        <v>46167.0</v>
      </c>
      <c r="B430" s="36" t="s">
        <v>54</v>
      </c>
      <c r="C430" s="36" t="s">
        <v>24</v>
      </c>
      <c r="D430" s="37">
        <v>0.708333333333333</v>
      </c>
      <c r="E430" s="37">
        <v>0.75</v>
      </c>
      <c r="F430" s="38" t="str">
        <f t="shared" si="1"/>
        <v>60</v>
      </c>
      <c r="G430" s="8"/>
      <c r="H430" s="14" t="str">
        <f t="shared" si="2"/>
        <v>25/05</v>
      </c>
      <c r="I430" s="15" t="str">
        <f t="shared" si="3"/>
        <v>Après-midi</v>
      </c>
    </row>
    <row r="431" ht="14.25" customHeight="1">
      <c r="A431" s="39">
        <v>46169.0</v>
      </c>
      <c r="B431" s="36" t="s">
        <v>66</v>
      </c>
      <c r="C431" s="36" t="s">
        <v>24</v>
      </c>
      <c r="D431" s="37">
        <v>0.335416666666667</v>
      </c>
      <c r="E431" s="37">
        <v>0.34375</v>
      </c>
      <c r="F431" s="38" t="str">
        <f t="shared" si="1"/>
        <v>12</v>
      </c>
      <c r="G431" s="8"/>
      <c r="H431" s="14" t="str">
        <f t="shared" si="2"/>
        <v>27/05</v>
      </c>
      <c r="I431" s="15" t="str">
        <f t="shared" si="3"/>
        <v>Matin</v>
      </c>
    </row>
    <row r="432" ht="14.25" customHeight="1">
      <c r="A432" s="39">
        <v>46169.0</v>
      </c>
      <c r="B432" s="36" t="s">
        <v>66</v>
      </c>
      <c r="C432" s="36" t="s">
        <v>24</v>
      </c>
      <c r="D432" s="37">
        <v>0.385416666666667</v>
      </c>
      <c r="E432" s="37">
        <v>0.392361111111111</v>
      </c>
      <c r="F432" s="38" t="str">
        <f t="shared" si="1"/>
        <v>10</v>
      </c>
      <c r="G432" s="8"/>
      <c r="H432" s="14" t="str">
        <f t="shared" si="2"/>
        <v>27/05</v>
      </c>
      <c r="I432" s="15" t="str">
        <f t="shared" si="3"/>
        <v>Matin</v>
      </c>
    </row>
    <row r="433" ht="14.25" customHeight="1">
      <c r="A433" s="39">
        <v>46169.0</v>
      </c>
      <c r="B433" s="36" t="s">
        <v>66</v>
      </c>
      <c r="C433" s="36" t="s">
        <v>24</v>
      </c>
      <c r="D433" s="37">
        <v>0.427083333333333</v>
      </c>
      <c r="E433" s="37">
        <v>0.4375</v>
      </c>
      <c r="F433" s="38" t="str">
        <f t="shared" si="1"/>
        <v>15</v>
      </c>
      <c r="G433" s="8"/>
      <c r="H433" s="14" t="str">
        <f t="shared" si="2"/>
        <v>27/05</v>
      </c>
      <c r="I433" s="15" t="str">
        <f t="shared" si="3"/>
        <v>Matin</v>
      </c>
    </row>
    <row r="434" ht="14.25" customHeight="1">
      <c r="A434" s="39">
        <v>46169.0</v>
      </c>
      <c r="B434" s="36" t="s">
        <v>66</v>
      </c>
      <c r="C434" s="36" t="s">
        <v>24</v>
      </c>
      <c r="D434" s="37">
        <v>0.440972222222222</v>
      </c>
      <c r="E434" s="37">
        <v>0.465277777777778</v>
      </c>
      <c r="F434" s="38" t="str">
        <f t="shared" si="1"/>
        <v>35</v>
      </c>
      <c r="G434" s="8"/>
      <c r="H434" s="14" t="str">
        <f t="shared" si="2"/>
        <v>27/05</v>
      </c>
      <c r="I434" s="15" t="str">
        <f t="shared" si="3"/>
        <v>Matin</v>
      </c>
    </row>
    <row r="435" ht="14.25" customHeight="1">
      <c r="A435" s="39">
        <v>46169.0</v>
      </c>
      <c r="B435" s="36" t="s">
        <v>66</v>
      </c>
      <c r="C435" s="36" t="s">
        <v>24</v>
      </c>
      <c r="D435" s="37">
        <v>0.470138888888889</v>
      </c>
      <c r="E435" s="37">
        <v>0.495138888888889</v>
      </c>
      <c r="F435" s="38" t="str">
        <f t="shared" si="1"/>
        <v>36</v>
      </c>
      <c r="G435" s="8"/>
      <c r="H435" s="14" t="str">
        <f t="shared" si="2"/>
        <v>27/05</v>
      </c>
      <c r="I435" s="15" t="str">
        <f t="shared" si="3"/>
        <v>Matin</v>
      </c>
    </row>
    <row r="436" ht="14.25" customHeight="1">
      <c r="A436" s="39">
        <v>46171.0</v>
      </c>
      <c r="B436" s="36" t="s">
        <v>54</v>
      </c>
      <c r="C436" s="36" t="s">
        <v>24</v>
      </c>
      <c r="D436" s="37">
        <v>0.326388888888889</v>
      </c>
      <c r="E436" s="37">
        <v>0.333333333333333</v>
      </c>
      <c r="F436" s="38" t="str">
        <f t="shared" si="1"/>
        <v>10</v>
      </c>
      <c r="G436" s="8"/>
      <c r="H436" s="14" t="str">
        <f t="shared" si="2"/>
        <v>29/05</v>
      </c>
      <c r="I436" s="15" t="str">
        <f t="shared" si="3"/>
        <v>Matin</v>
      </c>
    </row>
    <row r="437" ht="14.25" customHeight="1">
      <c r="A437" s="39">
        <v>46171.0</v>
      </c>
      <c r="B437" s="36" t="s">
        <v>54</v>
      </c>
      <c r="C437" s="36" t="s">
        <v>24</v>
      </c>
      <c r="D437" s="37">
        <v>0.401388888888889</v>
      </c>
      <c r="E437" s="37">
        <v>0.40625</v>
      </c>
      <c r="F437" s="38" t="str">
        <f t="shared" si="1"/>
        <v>7</v>
      </c>
      <c r="G437" s="8"/>
      <c r="H437" s="14" t="str">
        <f t="shared" si="2"/>
        <v>29/05</v>
      </c>
      <c r="I437" s="15" t="str">
        <f t="shared" si="3"/>
        <v>Matin</v>
      </c>
    </row>
    <row r="438" ht="14.25" customHeight="1">
      <c r="A438" s="39">
        <v>46171.0</v>
      </c>
      <c r="B438" s="36" t="s">
        <v>54</v>
      </c>
      <c r="C438" s="36" t="s">
        <v>24</v>
      </c>
      <c r="D438" s="37">
        <v>0.444444444444444</v>
      </c>
      <c r="E438" s="37">
        <v>0.465277777777778</v>
      </c>
      <c r="F438" s="38" t="str">
        <f t="shared" si="1"/>
        <v>30</v>
      </c>
      <c r="G438" s="8"/>
      <c r="H438" s="14" t="str">
        <f t="shared" si="2"/>
        <v>29/05</v>
      </c>
      <c r="I438" s="15" t="str">
        <f t="shared" si="3"/>
        <v>Matin</v>
      </c>
    </row>
    <row r="439" ht="14.25" customHeight="1">
      <c r="A439" s="39">
        <v>46172.0</v>
      </c>
      <c r="B439" s="36" t="s">
        <v>66</v>
      </c>
      <c r="C439" s="36" t="s">
        <v>24</v>
      </c>
      <c r="D439" s="37">
        <v>0.40625</v>
      </c>
      <c r="E439" s="37">
        <v>0.409722222222222</v>
      </c>
      <c r="F439" s="38" t="str">
        <f t="shared" si="1"/>
        <v>5</v>
      </c>
      <c r="G439" s="8"/>
      <c r="H439" s="14" t="str">
        <f t="shared" si="2"/>
        <v>30/05</v>
      </c>
      <c r="I439" s="15" t="str">
        <f t="shared" si="3"/>
        <v>Matin</v>
      </c>
    </row>
    <row r="440" ht="14.25" customHeight="1">
      <c r="A440" s="39">
        <v>46172.0</v>
      </c>
      <c r="B440" s="36" t="s">
        <v>66</v>
      </c>
      <c r="C440" s="36" t="s">
        <v>24</v>
      </c>
      <c r="D440" s="37">
        <v>0.473611111111111</v>
      </c>
      <c r="E440" s="37">
        <v>0.489583333333333</v>
      </c>
      <c r="F440" s="38" t="str">
        <f t="shared" si="1"/>
        <v>23</v>
      </c>
      <c r="G440" s="8"/>
      <c r="H440" s="14" t="str">
        <f t="shared" si="2"/>
        <v>30/05</v>
      </c>
      <c r="I440" s="15" t="str">
        <f t="shared" si="3"/>
        <v>Matin</v>
      </c>
    </row>
    <row r="441" ht="14.25" customHeight="1">
      <c r="A441" s="39">
        <v>46172.0</v>
      </c>
      <c r="B441" s="36" t="s">
        <v>66</v>
      </c>
      <c r="C441" s="36" t="s">
        <v>24</v>
      </c>
      <c r="D441" s="37">
        <v>0.538194444444444</v>
      </c>
      <c r="E441" s="37">
        <v>0.548611111111111</v>
      </c>
      <c r="F441" s="38" t="str">
        <f t="shared" si="1"/>
        <v>15</v>
      </c>
      <c r="G441" s="8"/>
      <c r="H441" s="14" t="str">
        <f t="shared" si="2"/>
        <v>30/05</v>
      </c>
      <c r="I441" s="15" t="str">
        <f t="shared" si="3"/>
        <v>Matin</v>
      </c>
    </row>
    <row r="442" ht="14.25" customHeight="1">
      <c r="A442" s="39">
        <v>46173.0</v>
      </c>
      <c r="B442" s="36" t="s">
        <v>54</v>
      </c>
      <c r="C442" s="36" t="s">
        <v>24</v>
      </c>
      <c r="D442" s="37">
        <v>0.333333333333333</v>
      </c>
      <c r="E442" s="37">
        <v>0.34375</v>
      </c>
      <c r="F442" s="38" t="str">
        <f t="shared" si="1"/>
        <v>15</v>
      </c>
      <c r="G442" s="8"/>
      <c r="H442" s="14" t="str">
        <f t="shared" si="2"/>
        <v>31/05</v>
      </c>
      <c r="I442" s="15" t="str">
        <f t="shared" si="3"/>
        <v>Matin</v>
      </c>
    </row>
    <row r="443" ht="14.25" customHeight="1">
      <c r="A443" s="39">
        <v>46174.0</v>
      </c>
      <c r="B443" s="36" t="s">
        <v>66</v>
      </c>
      <c r="C443" s="36" t="s">
        <v>24</v>
      </c>
      <c r="D443" s="37">
        <v>0.652083333333333</v>
      </c>
      <c r="E443" s="37">
        <v>0.679166666666667</v>
      </c>
      <c r="F443" s="38" t="str">
        <f t="shared" si="1"/>
        <v>39</v>
      </c>
      <c r="G443" s="8"/>
      <c r="H443" s="14" t="str">
        <f t="shared" si="2"/>
        <v>01/06</v>
      </c>
      <c r="I443" s="15" t="str">
        <f t="shared" si="3"/>
        <v>Après-midi</v>
      </c>
    </row>
    <row r="444" ht="14.25" customHeight="1">
      <c r="A444" s="39">
        <v>46174.0</v>
      </c>
      <c r="B444" s="36" t="s">
        <v>66</v>
      </c>
      <c r="C444" s="36" t="s">
        <v>24</v>
      </c>
      <c r="D444" s="37">
        <v>0.734722222222222</v>
      </c>
      <c r="E444" s="37">
        <v>0.740972222222222</v>
      </c>
      <c r="F444" s="38" t="str">
        <f t="shared" si="1"/>
        <v>9</v>
      </c>
      <c r="G444" s="8"/>
      <c r="H444" s="14" t="str">
        <f t="shared" si="2"/>
        <v>01/06</v>
      </c>
      <c r="I444" s="15" t="str">
        <f t="shared" si="3"/>
        <v>Après-midi</v>
      </c>
    </row>
    <row r="445" ht="14.25" customHeight="1">
      <c r="A445" s="39">
        <v>46174.0</v>
      </c>
      <c r="B445" s="36" t="s">
        <v>66</v>
      </c>
      <c r="C445" s="36" t="s">
        <v>24</v>
      </c>
      <c r="D445" s="37">
        <v>0.819444444444444</v>
      </c>
      <c r="E445" s="37">
        <v>0.822916666666667</v>
      </c>
      <c r="F445" s="38" t="str">
        <f t="shared" si="1"/>
        <v>5</v>
      </c>
      <c r="G445" s="8"/>
      <c r="H445" s="14" t="str">
        <f t="shared" si="2"/>
        <v>01/06</v>
      </c>
      <c r="I445" s="15" t="str">
        <f t="shared" si="3"/>
        <v>Après-midi</v>
      </c>
    </row>
    <row r="446" ht="14.25" customHeight="1">
      <c r="A446" s="39">
        <v>46174.0</v>
      </c>
      <c r="B446" s="36" t="s">
        <v>66</v>
      </c>
      <c r="C446" s="36" t="s">
        <v>24</v>
      </c>
      <c r="D446" s="37">
        <v>0.872222222222222</v>
      </c>
      <c r="E446" s="37">
        <v>0.902777777777778</v>
      </c>
      <c r="F446" s="38" t="str">
        <f t="shared" si="1"/>
        <v>44</v>
      </c>
      <c r="G446" s="8"/>
      <c r="H446" s="14" t="str">
        <f t="shared" si="2"/>
        <v>01/06</v>
      </c>
      <c r="I446" s="15" t="str">
        <f t="shared" si="3"/>
        <v>Après-midi</v>
      </c>
    </row>
    <row r="447" ht="14.25" customHeight="1">
      <c r="A447" s="39">
        <v>46174.0</v>
      </c>
      <c r="B447" s="36" t="s">
        <v>66</v>
      </c>
      <c r="C447" s="36" t="s">
        <v>24</v>
      </c>
      <c r="D447" s="37">
        <v>0.90625</v>
      </c>
      <c r="E447" s="37">
        <v>0.909722222222222</v>
      </c>
      <c r="F447" s="38" t="str">
        <f t="shared" si="1"/>
        <v>5</v>
      </c>
      <c r="G447" s="8"/>
      <c r="H447" s="14" t="str">
        <f t="shared" si="2"/>
        <v>01/06</v>
      </c>
      <c r="I447" s="15" t="str">
        <f t="shared" si="3"/>
        <v>Après-midi</v>
      </c>
    </row>
    <row r="448" ht="14.25" customHeight="1">
      <c r="A448" s="39">
        <v>46174.0</v>
      </c>
      <c r="B448" s="36" t="s">
        <v>66</v>
      </c>
      <c r="C448" s="36" t="s">
        <v>24</v>
      </c>
      <c r="D448" s="37">
        <v>0.916666666666667</v>
      </c>
      <c r="E448" s="37">
        <v>0.918055555555556</v>
      </c>
      <c r="F448" s="38" t="str">
        <f t="shared" si="1"/>
        <v>2</v>
      </c>
      <c r="G448" s="8"/>
      <c r="H448" s="14" t="str">
        <f t="shared" si="2"/>
        <v>01/06</v>
      </c>
      <c r="I448" s="15" t="str">
        <f t="shared" si="3"/>
        <v>Nuit</v>
      </c>
    </row>
    <row r="449" ht="14.25" customHeight="1">
      <c r="A449" s="39">
        <v>46174.0</v>
      </c>
      <c r="B449" s="36" t="s">
        <v>54</v>
      </c>
      <c r="C449" s="36" t="s">
        <v>24</v>
      </c>
      <c r="D449" s="37">
        <v>0.923611111111111</v>
      </c>
      <c r="E449" s="37">
        <v>0.944444444444444</v>
      </c>
      <c r="F449" s="38" t="str">
        <f t="shared" si="1"/>
        <v>30</v>
      </c>
      <c r="G449" s="8"/>
      <c r="H449" s="14" t="str">
        <f t="shared" si="2"/>
        <v>01/06</v>
      </c>
      <c r="I449" s="15" t="str">
        <f t="shared" si="3"/>
        <v>Nuit</v>
      </c>
    </row>
    <row r="450" ht="14.25" customHeight="1">
      <c r="A450" s="39">
        <v>46175.0</v>
      </c>
      <c r="B450" s="36" t="s">
        <v>54</v>
      </c>
      <c r="C450" s="36" t="s">
        <v>24</v>
      </c>
      <c r="D450" s="37">
        <v>0.104166666666667</v>
      </c>
      <c r="E450" s="37">
        <v>0.152777777777778</v>
      </c>
      <c r="F450" s="38" t="str">
        <f t="shared" si="1"/>
        <v>70</v>
      </c>
      <c r="G450" s="8"/>
      <c r="H450" s="14" t="str">
        <f t="shared" si="2"/>
        <v>01/06</v>
      </c>
      <c r="I450" s="15" t="str">
        <f t="shared" si="3"/>
        <v>Nuit</v>
      </c>
    </row>
    <row r="451" ht="14.25" customHeight="1">
      <c r="A451" s="39">
        <v>46175.0</v>
      </c>
      <c r="B451" s="36" t="s">
        <v>54</v>
      </c>
      <c r="C451" s="36" t="s">
        <v>24</v>
      </c>
      <c r="D451" s="37">
        <v>0.159722222222222</v>
      </c>
      <c r="E451" s="37">
        <v>0.208333333333333</v>
      </c>
      <c r="F451" s="38" t="str">
        <f t="shared" si="1"/>
        <v>70</v>
      </c>
      <c r="G451" s="8"/>
      <c r="H451" s="14" t="str">
        <f t="shared" si="2"/>
        <v>01/06</v>
      </c>
      <c r="I451" s="15" t="str">
        <f t="shared" si="3"/>
        <v>Nuit</v>
      </c>
    </row>
    <row r="452" ht="14.25" customHeight="1">
      <c r="A452" s="39">
        <v>46175.0</v>
      </c>
      <c r="B452" s="36" t="s">
        <v>66</v>
      </c>
      <c r="C452" s="36" t="s">
        <v>24</v>
      </c>
      <c r="D452" s="37">
        <v>0.25</v>
      </c>
      <c r="E452" s="37">
        <v>0.3125</v>
      </c>
      <c r="F452" s="38" t="str">
        <f t="shared" si="1"/>
        <v>90</v>
      </c>
      <c r="G452" s="8"/>
      <c r="H452" s="14" t="str">
        <f t="shared" si="2"/>
        <v>02/06</v>
      </c>
      <c r="I452" s="15" t="str">
        <f t="shared" si="3"/>
        <v>Matin</v>
      </c>
    </row>
    <row r="453" ht="14.25" customHeight="1">
      <c r="A453" s="39">
        <v>46175.0</v>
      </c>
      <c r="B453" s="36" t="s">
        <v>66</v>
      </c>
      <c r="C453" s="36" t="s">
        <v>24</v>
      </c>
      <c r="D453" s="37">
        <v>0.322916666666667</v>
      </c>
      <c r="E453" s="37">
        <v>0.340277777777778</v>
      </c>
      <c r="F453" s="38" t="str">
        <f t="shared" si="1"/>
        <v>25</v>
      </c>
      <c r="G453" s="8"/>
      <c r="H453" s="14" t="str">
        <f t="shared" si="2"/>
        <v>02/06</v>
      </c>
      <c r="I453" s="15" t="str">
        <f t="shared" si="3"/>
        <v>Matin</v>
      </c>
    </row>
    <row r="454" ht="14.25" customHeight="1">
      <c r="A454" s="39">
        <v>46175.0</v>
      </c>
      <c r="B454" s="36" t="s">
        <v>66</v>
      </c>
      <c r="C454" s="36" t="s">
        <v>24</v>
      </c>
      <c r="D454" s="37">
        <v>0.416666666666667</v>
      </c>
      <c r="E454" s="37">
        <v>0.444444444444444</v>
      </c>
      <c r="F454" s="38" t="str">
        <f t="shared" si="1"/>
        <v>40</v>
      </c>
      <c r="G454" s="8"/>
      <c r="H454" s="14" t="str">
        <f t="shared" si="2"/>
        <v>02/06</v>
      </c>
      <c r="I454" s="15" t="str">
        <f t="shared" si="3"/>
        <v>Matin</v>
      </c>
    </row>
    <row r="455" ht="14.25" customHeight="1">
      <c r="A455" s="39">
        <v>46175.0</v>
      </c>
      <c r="B455" s="36" t="s">
        <v>66</v>
      </c>
      <c r="C455" s="36" t="s">
        <v>24</v>
      </c>
      <c r="D455" s="37">
        <v>0.451388888888889</v>
      </c>
      <c r="E455" s="37">
        <v>0.458333333333333</v>
      </c>
      <c r="F455" s="38" t="str">
        <f t="shared" si="1"/>
        <v>10</v>
      </c>
      <c r="G455" s="8"/>
      <c r="H455" s="14" t="str">
        <f t="shared" si="2"/>
        <v>02/06</v>
      </c>
      <c r="I455" s="15" t="str">
        <f t="shared" si="3"/>
        <v>Matin</v>
      </c>
    </row>
    <row r="456" ht="14.25" customHeight="1">
      <c r="A456" s="39">
        <v>46175.0</v>
      </c>
      <c r="B456" s="36" t="s">
        <v>66</v>
      </c>
      <c r="C456" s="36" t="s">
        <v>24</v>
      </c>
      <c r="D456" s="37">
        <v>0.548611111111111</v>
      </c>
      <c r="E456" s="37">
        <v>0.5625</v>
      </c>
      <c r="F456" s="38" t="str">
        <f t="shared" si="1"/>
        <v>20</v>
      </c>
      <c r="G456" s="8"/>
      <c r="H456" s="14" t="str">
        <f t="shared" si="2"/>
        <v>02/06</v>
      </c>
      <c r="I456" s="15" t="str">
        <f t="shared" si="3"/>
        <v>Matin</v>
      </c>
    </row>
    <row r="457" ht="14.25" customHeight="1">
      <c r="A457" s="39">
        <v>46175.0</v>
      </c>
      <c r="B457" s="36" t="s">
        <v>66</v>
      </c>
      <c r="C457" s="36" t="s">
        <v>24</v>
      </c>
      <c r="D457" s="37">
        <v>0.583333333333333</v>
      </c>
      <c r="E457" s="37">
        <v>0.614583333333333</v>
      </c>
      <c r="F457" s="38" t="str">
        <f t="shared" si="1"/>
        <v>45</v>
      </c>
      <c r="G457" s="8"/>
      <c r="H457" s="14" t="str">
        <f t="shared" si="2"/>
        <v>02/06</v>
      </c>
      <c r="I457" s="15" t="str">
        <f t="shared" si="3"/>
        <v>Après-midi</v>
      </c>
    </row>
    <row r="458" ht="14.25" customHeight="1">
      <c r="A458" s="39">
        <v>46175.0</v>
      </c>
      <c r="B458" s="36" t="s">
        <v>54</v>
      </c>
      <c r="C458" s="36" t="s">
        <v>24</v>
      </c>
      <c r="D458" s="37">
        <v>0.661805555555556</v>
      </c>
      <c r="E458" s="37">
        <v>0.673611111111111</v>
      </c>
      <c r="F458" s="38" t="str">
        <f t="shared" si="1"/>
        <v>17</v>
      </c>
      <c r="G458" s="8"/>
      <c r="H458" s="14" t="str">
        <f t="shared" si="2"/>
        <v>02/06</v>
      </c>
      <c r="I458" s="15" t="str">
        <f t="shared" si="3"/>
        <v>Après-midi</v>
      </c>
    </row>
    <row r="459" ht="14.25" customHeight="1">
      <c r="A459" s="39">
        <v>46175.0</v>
      </c>
      <c r="B459" s="36" t="s">
        <v>54</v>
      </c>
      <c r="C459" s="36" t="s">
        <v>24</v>
      </c>
      <c r="D459" s="37">
        <v>0.747916666666667</v>
      </c>
      <c r="E459" s="37">
        <v>0.753472222222222</v>
      </c>
      <c r="F459" s="38" t="str">
        <f t="shared" si="1"/>
        <v>8</v>
      </c>
      <c r="G459" s="8"/>
      <c r="H459" s="14" t="str">
        <f t="shared" si="2"/>
        <v>02/06</v>
      </c>
      <c r="I459" s="15" t="str">
        <f t="shared" si="3"/>
        <v>Après-midi</v>
      </c>
    </row>
    <row r="460" ht="14.25" customHeight="1">
      <c r="A460" s="39">
        <v>46175.0</v>
      </c>
      <c r="B460" s="36" t="s">
        <v>54</v>
      </c>
      <c r="C460" s="36" t="s">
        <v>24</v>
      </c>
      <c r="D460" s="37">
        <v>0.835416666666667</v>
      </c>
      <c r="E460" s="37">
        <v>0.854166666666667</v>
      </c>
      <c r="F460" s="38" t="str">
        <f t="shared" si="1"/>
        <v>27</v>
      </c>
      <c r="G460" s="8"/>
      <c r="H460" s="14" t="str">
        <f t="shared" si="2"/>
        <v>02/06</v>
      </c>
      <c r="I460" s="15" t="str">
        <f t="shared" si="3"/>
        <v>Après-midi</v>
      </c>
    </row>
    <row r="461" ht="14.25" customHeight="1">
      <c r="A461" s="39">
        <v>46176.0</v>
      </c>
      <c r="B461" s="36" t="s">
        <v>66</v>
      </c>
      <c r="C461" s="36" t="s">
        <v>24</v>
      </c>
      <c r="D461" s="37">
        <v>0.298611111111111</v>
      </c>
      <c r="E461" s="37">
        <v>0.3125</v>
      </c>
      <c r="F461" s="38" t="str">
        <f t="shared" si="1"/>
        <v>20</v>
      </c>
      <c r="G461" s="8"/>
      <c r="H461" s="14" t="str">
        <f t="shared" si="2"/>
        <v>03/06</v>
      </c>
      <c r="I461" s="15" t="str">
        <f t="shared" si="3"/>
        <v>Matin</v>
      </c>
    </row>
    <row r="462" ht="14.25" customHeight="1">
      <c r="A462" s="39">
        <v>46176.0</v>
      </c>
      <c r="B462" s="36" t="s">
        <v>66</v>
      </c>
      <c r="C462" s="36" t="s">
        <v>24</v>
      </c>
      <c r="D462" s="37">
        <v>0.368055555555556</v>
      </c>
      <c r="E462" s="37">
        <v>0.375</v>
      </c>
      <c r="F462" s="38" t="str">
        <f t="shared" si="1"/>
        <v>10</v>
      </c>
      <c r="G462" s="8"/>
      <c r="H462" s="14" t="str">
        <f t="shared" si="2"/>
        <v>03/06</v>
      </c>
      <c r="I462" s="15" t="str">
        <f t="shared" si="3"/>
        <v>Matin</v>
      </c>
    </row>
    <row r="463" ht="14.25" customHeight="1">
      <c r="A463" s="39">
        <v>46176.0</v>
      </c>
      <c r="B463" s="36" t="s">
        <v>66</v>
      </c>
      <c r="C463" s="36" t="s">
        <v>24</v>
      </c>
      <c r="D463" s="37">
        <v>0.583333333333333</v>
      </c>
      <c r="E463" s="37">
        <v>0.708333333333333</v>
      </c>
      <c r="F463" s="38" t="str">
        <f t="shared" si="1"/>
        <v>180</v>
      </c>
      <c r="G463" s="8"/>
      <c r="H463" s="14" t="str">
        <f t="shared" si="2"/>
        <v>03/06</v>
      </c>
      <c r="I463" s="15" t="str">
        <f t="shared" si="3"/>
        <v>Après-midi</v>
      </c>
    </row>
    <row r="464" ht="14.25" customHeight="1">
      <c r="A464" s="39">
        <v>46176.0</v>
      </c>
      <c r="B464" s="36" t="s">
        <v>66</v>
      </c>
      <c r="C464" s="36" t="s">
        <v>24</v>
      </c>
      <c r="D464" s="37">
        <v>0.784722222222222</v>
      </c>
      <c r="E464" s="37">
        <v>0.819444444444444</v>
      </c>
      <c r="F464" s="38" t="str">
        <f t="shared" si="1"/>
        <v>50</v>
      </c>
      <c r="G464" s="8"/>
      <c r="H464" s="14" t="str">
        <f t="shared" si="2"/>
        <v>03/06</v>
      </c>
      <c r="I464" s="15" t="str">
        <f t="shared" si="3"/>
        <v>Après-midi</v>
      </c>
    </row>
    <row r="465" ht="14.25" customHeight="1">
      <c r="A465" s="39">
        <v>46177.0</v>
      </c>
      <c r="B465" s="36" t="s">
        <v>54</v>
      </c>
      <c r="C465" s="36" t="s">
        <v>24</v>
      </c>
      <c r="D465" s="37">
        <v>0.6625</v>
      </c>
      <c r="E465" s="37">
        <v>0.666666666666667</v>
      </c>
      <c r="F465" s="38" t="str">
        <f t="shared" si="1"/>
        <v>6</v>
      </c>
      <c r="G465" s="8"/>
      <c r="H465" s="14" t="str">
        <f t="shared" si="2"/>
        <v>04/06</v>
      </c>
      <c r="I465" s="15" t="str">
        <f t="shared" si="3"/>
        <v>Après-midi</v>
      </c>
    </row>
    <row r="466" ht="14.25" customHeight="1">
      <c r="A466" s="39">
        <v>46177.0</v>
      </c>
      <c r="B466" s="36" t="s">
        <v>66</v>
      </c>
      <c r="C466" s="36" t="s">
        <v>24</v>
      </c>
      <c r="D466" s="37">
        <v>0.758333333333333</v>
      </c>
      <c r="E466" s="37">
        <v>0.767361111111111</v>
      </c>
      <c r="F466" s="38" t="str">
        <f t="shared" si="1"/>
        <v>13</v>
      </c>
      <c r="G466" s="8"/>
      <c r="H466" s="14" t="str">
        <f t="shared" si="2"/>
        <v>04/06</v>
      </c>
      <c r="I466" s="15" t="str">
        <f t="shared" si="3"/>
        <v>Après-midi</v>
      </c>
    </row>
    <row r="467" ht="14.25" customHeight="1">
      <c r="A467" s="39">
        <v>46177.0</v>
      </c>
      <c r="B467" s="36" t="s">
        <v>66</v>
      </c>
      <c r="C467" s="36" t="s">
        <v>24</v>
      </c>
      <c r="D467" s="37">
        <v>0.864583333333333</v>
      </c>
      <c r="E467" s="37">
        <v>0.878472222222222</v>
      </c>
      <c r="F467" s="38" t="str">
        <f t="shared" si="1"/>
        <v>20</v>
      </c>
      <c r="G467" s="8"/>
      <c r="H467" s="14" t="str">
        <f t="shared" si="2"/>
        <v>04/06</v>
      </c>
      <c r="I467" s="15" t="str">
        <f t="shared" si="3"/>
        <v>Après-midi</v>
      </c>
    </row>
    <row r="468" ht="14.25" customHeight="1">
      <c r="A468" s="39">
        <v>46177.0</v>
      </c>
      <c r="B468" s="36" t="s">
        <v>54</v>
      </c>
      <c r="C468" s="36" t="s">
        <v>24</v>
      </c>
      <c r="D468" s="37">
        <v>0.305555555555556</v>
      </c>
      <c r="E468" s="37">
        <v>0.319444444444444</v>
      </c>
      <c r="F468" s="38" t="str">
        <f t="shared" si="1"/>
        <v>20</v>
      </c>
      <c r="G468" s="8"/>
      <c r="H468" s="14" t="str">
        <f t="shared" si="2"/>
        <v>04/06</v>
      </c>
      <c r="I468" s="15" t="str">
        <f t="shared" si="3"/>
        <v>Matin</v>
      </c>
    </row>
    <row r="469" ht="14.25" customHeight="1">
      <c r="A469" s="39">
        <v>46177.0</v>
      </c>
      <c r="B469" s="36" t="s">
        <v>54</v>
      </c>
      <c r="C469" s="36" t="s">
        <v>24</v>
      </c>
      <c r="D469" s="37">
        <v>0.444444444444444</v>
      </c>
      <c r="E469" s="37">
        <v>0.465277777777778</v>
      </c>
      <c r="F469" s="38" t="str">
        <f t="shared" si="1"/>
        <v>30</v>
      </c>
      <c r="G469" s="8"/>
      <c r="H469" s="14" t="str">
        <f t="shared" si="2"/>
        <v>04/06</v>
      </c>
      <c r="I469" s="15" t="str">
        <f t="shared" si="3"/>
        <v>Matin</v>
      </c>
    </row>
    <row r="470" ht="14.25" customHeight="1">
      <c r="A470" s="39">
        <v>46178.0</v>
      </c>
      <c r="B470" s="36" t="s">
        <v>66</v>
      </c>
      <c r="C470" s="36" t="s">
        <v>24</v>
      </c>
      <c r="D470" s="37">
        <v>0.697222222222222</v>
      </c>
      <c r="E470" s="37">
        <v>0.697916666666667</v>
      </c>
      <c r="F470" s="38" t="str">
        <f t="shared" si="1"/>
        <v>1</v>
      </c>
      <c r="G470" s="8"/>
      <c r="H470" s="14" t="str">
        <f t="shared" si="2"/>
        <v>05/06</v>
      </c>
      <c r="I470" s="15" t="str">
        <f t="shared" si="3"/>
        <v>Après-midi</v>
      </c>
    </row>
    <row r="471" ht="14.25" customHeight="1">
      <c r="A471" s="39">
        <v>46178.0</v>
      </c>
      <c r="B471" s="36" t="s">
        <v>66</v>
      </c>
      <c r="C471" s="36" t="s">
        <v>24</v>
      </c>
      <c r="D471" s="37">
        <v>0.856944444444444</v>
      </c>
      <c r="E471" s="37">
        <v>0.864583333333333</v>
      </c>
      <c r="F471" s="38" t="str">
        <f t="shared" si="1"/>
        <v>11</v>
      </c>
      <c r="G471" s="8"/>
      <c r="H471" s="14" t="str">
        <f t="shared" si="2"/>
        <v>05/06</v>
      </c>
      <c r="I471" s="15" t="str">
        <f t="shared" si="3"/>
        <v>Après-midi</v>
      </c>
    </row>
    <row r="472" ht="14.25" customHeight="1">
      <c r="A472" s="39">
        <v>46179.0</v>
      </c>
      <c r="B472" s="36" t="s">
        <v>54</v>
      </c>
      <c r="C472" s="36" t="s">
        <v>24</v>
      </c>
      <c r="D472" s="37">
        <v>0.284722222222222</v>
      </c>
      <c r="E472" s="37">
        <v>0.288194444444444</v>
      </c>
      <c r="F472" s="38" t="str">
        <f t="shared" si="1"/>
        <v>5</v>
      </c>
      <c r="G472" s="8"/>
      <c r="H472" s="14" t="str">
        <f t="shared" si="2"/>
        <v>06/06</v>
      </c>
      <c r="I472" s="15" t="str">
        <f t="shared" si="3"/>
        <v>Matin</v>
      </c>
    </row>
    <row r="473" ht="14.25" customHeight="1">
      <c r="A473" s="39">
        <v>46179.0</v>
      </c>
      <c r="B473" s="36" t="s">
        <v>54</v>
      </c>
      <c r="C473" s="36" t="s">
        <v>24</v>
      </c>
      <c r="D473" s="37">
        <v>0.34375</v>
      </c>
      <c r="E473" s="37">
        <v>0.347222222222222</v>
      </c>
      <c r="F473" s="38" t="str">
        <f t="shared" si="1"/>
        <v>5</v>
      </c>
      <c r="G473" s="8"/>
      <c r="H473" s="14" t="str">
        <f t="shared" si="2"/>
        <v>06/06</v>
      </c>
      <c r="I473" s="15" t="str">
        <f t="shared" si="3"/>
        <v>Matin</v>
      </c>
    </row>
    <row r="474" ht="14.25" customHeight="1">
      <c r="A474" s="39">
        <v>46179.0</v>
      </c>
      <c r="B474" s="36" t="s">
        <v>54</v>
      </c>
      <c r="C474" s="36" t="s">
        <v>24</v>
      </c>
      <c r="D474" s="37">
        <v>0.479166666666667</v>
      </c>
      <c r="E474" s="37">
        <v>0.489583333333333</v>
      </c>
      <c r="F474" s="38" t="str">
        <f t="shared" si="1"/>
        <v>15</v>
      </c>
      <c r="G474" s="8"/>
      <c r="H474" s="14" t="str">
        <f t="shared" si="2"/>
        <v>06/06</v>
      </c>
      <c r="I474" s="15" t="str">
        <f t="shared" si="3"/>
        <v>Matin</v>
      </c>
    </row>
    <row r="475" ht="14.25" customHeight="1">
      <c r="A475" s="39">
        <v>46179.0</v>
      </c>
      <c r="B475" s="36" t="s">
        <v>54</v>
      </c>
      <c r="C475" s="36" t="s">
        <v>24</v>
      </c>
      <c r="D475" s="37">
        <v>0.583333333333333</v>
      </c>
      <c r="E475" s="37">
        <v>0.621527777777778</v>
      </c>
      <c r="F475" s="38" t="str">
        <f t="shared" si="1"/>
        <v>55</v>
      </c>
      <c r="G475" s="8"/>
      <c r="H475" s="14" t="str">
        <f t="shared" si="2"/>
        <v>06/06</v>
      </c>
      <c r="I475" s="15" t="str">
        <f t="shared" si="3"/>
        <v>Après-midi</v>
      </c>
    </row>
    <row r="476" ht="14.25" customHeight="1">
      <c r="A476" s="39">
        <v>46179.0</v>
      </c>
      <c r="B476" s="36" t="s">
        <v>66</v>
      </c>
      <c r="C476" s="36" t="s">
        <v>24</v>
      </c>
      <c r="D476" s="37">
        <v>0.666666666666667</v>
      </c>
      <c r="E476" s="37">
        <v>0.673611111111111</v>
      </c>
      <c r="F476" s="38" t="str">
        <f t="shared" si="1"/>
        <v>10</v>
      </c>
      <c r="G476" s="8"/>
      <c r="H476" s="14" t="str">
        <f t="shared" si="2"/>
        <v>06/06</v>
      </c>
      <c r="I476" s="15" t="str">
        <f t="shared" si="3"/>
        <v>Après-midi</v>
      </c>
    </row>
    <row r="477" ht="14.25" customHeight="1">
      <c r="A477" s="39">
        <v>46179.0</v>
      </c>
      <c r="B477" s="36" t="s">
        <v>66</v>
      </c>
      <c r="C477" s="36" t="s">
        <v>24</v>
      </c>
      <c r="D477" s="37">
        <v>0.756944444444444</v>
      </c>
      <c r="E477" s="37">
        <v>0.767361111111111</v>
      </c>
      <c r="F477" s="38" t="str">
        <f t="shared" si="1"/>
        <v>15</v>
      </c>
      <c r="G477" s="8"/>
      <c r="H477" s="14" t="str">
        <f t="shared" si="2"/>
        <v>06/06</v>
      </c>
      <c r="I477" s="15" t="str">
        <f t="shared" si="3"/>
        <v>Après-midi</v>
      </c>
    </row>
    <row r="478" ht="14.25" customHeight="1">
      <c r="A478" s="39">
        <v>46179.0</v>
      </c>
      <c r="B478" s="36" t="s">
        <v>66</v>
      </c>
      <c r="C478" s="36" t="s">
        <v>24</v>
      </c>
      <c r="D478" s="37">
        <v>0.840972222222222</v>
      </c>
      <c r="E478" s="37">
        <v>0.847222222222222</v>
      </c>
      <c r="F478" s="38" t="str">
        <f t="shared" si="1"/>
        <v>9</v>
      </c>
      <c r="G478" s="8"/>
      <c r="H478" s="14" t="str">
        <f t="shared" si="2"/>
        <v>06/06</v>
      </c>
      <c r="I478" s="15" t="str">
        <f t="shared" si="3"/>
        <v>Après-midi</v>
      </c>
    </row>
    <row r="479" ht="14.25" customHeight="1">
      <c r="A479" s="39">
        <v>46179.0</v>
      </c>
      <c r="B479" s="36" t="s">
        <v>66</v>
      </c>
      <c r="C479" s="36" t="s">
        <v>24</v>
      </c>
      <c r="D479" s="37">
        <v>0.890277777777778</v>
      </c>
      <c r="E479" s="37">
        <v>0.895833333333333</v>
      </c>
      <c r="F479" s="38" t="str">
        <f t="shared" si="1"/>
        <v>8</v>
      </c>
      <c r="G479" s="8"/>
      <c r="H479" s="14" t="str">
        <f t="shared" si="2"/>
        <v>06/06</v>
      </c>
      <c r="I479" s="15" t="str">
        <f t="shared" si="3"/>
        <v>Après-midi</v>
      </c>
    </row>
    <row r="480" ht="14.25" customHeight="1">
      <c r="A480" s="39">
        <v>46180.0</v>
      </c>
      <c r="B480" s="36" t="s">
        <v>66</v>
      </c>
      <c r="C480" s="36" t="s">
        <v>24</v>
      </c>
      <c r="D480" s="37">
        <v>0.371527777777778</v>
      </c>
      <c r="E480" s="37">
        <v>0.381944444444444</v>
      </c>
      <c r="F480" s="38" t="str">
        <f t="shared" si="1"/>
        <v>15</v>
      </c>
      <c r="G480" s="8"/>
      <c r="H480" s="14" t="str">
        <f t="shared" si="2"/>
        <v>07/06</v>
      </c>
      <c r="I480" s="15" t="str">
        <f t="shared" si="3"/>
        <v>Matin</v>
      </c>
    </row>
    <row r="481" ht="14.25" customHeight="1">
      <c r="A481" s="39">
        <v>46180.0</v>
      </c>
      <c r="B481" s="36" t="s">
        <v>66</v>
      </c>
      <c r="C481" s="36" t="s">
        <v>24</v>
      </c>
      <c r="D481" s="37">
        <v>0.493055555555556</v>
      </c>
      <c r="E481" s="37">
        <v>0.504166666666667</v>
      </c>
      <c r="F481" s="38" t="str">
        <f t="shared" si="1"/>
        <v>16</v>
      </c>
      <c r="G481" s="8"/>
      <c r="H481" s="14" t="str">
        <f t="shared" si="2"/>
        <v>07/06</v>
      </c>
      <c r="I481" s="15" t="str">
        <f t="shared" si="3"/>
        <v>Matin</v>
      </c>
    </row>
    <row r="482" ht="14.25" customHeight="1">
      <c r="A482" s="39">
        <v>46180.0</v>
      </c>
      <c r="B482" s="36" t="s">
        <v>66</v>
      </c>
      <c r="C482" s="36" t="s">
        <v>24</v>
      </c>
      <c r="D482" s="37">
        <v>0.566666666666667</v>
      </c>
      <c r="E482" s="37">
        <v>0.59375</v>
      </c>
      <c r="F482" s="38" t="str">
        <f t="shared" si="1"/>
        <v>39</v>
      </c>
      <c r="G482" s="8"/>
      <c r="H482" s="14" t="str">
        <f t="shared" si="2"/>
        <v>07/06</v>
      </c>
      <c r="I482" s="15" t="str">
        <f t="shared" si="3"/>
        <v>Matin</v>
      </c>
    </row>
    <row r="483" ht="14.25" customHeight="1">
      <c r="A483" s="39">
        <v>46180.0</v>
      </c>
      <c r="B483" s="36" t="s">
        <v>54</v>
      </c>
      <c r="C483" s="36" t="s">
        <v>24</v>
      </c>
      <c r="D483" s="37">
        <v>0.690972222222222</v>
      </c>
      <c r="E483" s="37">
        <v>0.701388888888889</v>
      </c>
      <c r="F483" s="38" t="str">
        <f t="shared" si="1"/>
        <v>15</v>
      </c>
      <c r="G483" s="8"/>
      <c r="H483" s="14" t="str">
        <f t="shared" si="2"/>
        <v>07/06</v>
      </c>
      <c r="I483" s="15" t="str">
        <f t="shared" si="3"/>
        <v>Après-midi</v>
      </c>
    </row>
    <row r="484" ht="14.25" customHeight="1">
      <c r="A484" s="39">
        <v>46181.0</v>
      </c>
      <c r="B484" s="36" t="s">
        <v>66</v>
      </c>
      <c r="C484" s="36" t="s">
        <v>24</v>
      </c>
      <c r="D484" s="37">
        <v>0.305555555555556</v>
      </c>
      <c r="E484" s="37">
        <v>0.309027777777778</v>
      </c>
      <c r="F484" s="38" t="str">
        <f t="shared" si="1"/>
        <v>5</v>
      </c>
      <c r="G484" s="8"/>
      <c r="H484" s="14" t="str">
        <f t="shared" si="2"/>
        <v>08/06</v>
      </c>
      <c r="I484" s="15" t="str">
        <f t="shared" si="3"/>
        <v>Matin</v>
      </c>
    </row>
    <row r="485" ht="14.25" customHeight="1">
      <c r="A485" s="39">
        <v>46181.0</v>
      </c>
      <c r="B485" s="36" t="s">
        <v>66</v>
      </c>
      <c r="C485" s="36" t="s">
        <v>24</v>
      </c>
      <c r="D485" s="37">
        <v>0.31875</v>
      </c>
      <c r="E485" s="37">
        <v>0.35</v>
      </c>
      <c r="F485" s="38" t="str">
        <f t="shared" si="1"/>
        <v>45</v>
      </c>
      <c r="G485" s="8"/>
      <c r="H485" s="14" t="str">
        <f t="shared" si="2"/>
        <v>08/06</v>
      </c>
      <c r="I485" s="15" t="str">
        <f t="shared" si="3"/>
        <v>Matin</v>
      </c>
    </row>
    <row r="486" ht="14.25" customHeight="1">
      <c r="A486" s="39">
        <v>46181.0</v>
      </c>
      <c r="B486" s="36" t="s">
        <v>66</v>
      </c>
      <c r="C486" s="36" t="s">
        <v>24</v>
      </c>
      <c r="D486" s="37">
        <v>0.402777777777778</v>
      </c>
      <c r="E486" s="37">
        <v>0.440972222222222</v>
      </c>
      <c r="F486" s="38" t="str">
        <f t="shared" si="1"/>
        <v>55</v>
      </c>
      <c r="G486" s="8"/>
      <c r="H486" s="14" t="str">
        <f t="shared" si="2"/>
        <v>08/06</v>
      </c>
      <c r="I486" s="15" t="str">
        <f t="shared" si="3"/>
        <v>Matin</v>
      </c>
    </row>
    <row r="487" ht="14.25" customHeight="1">
      <c r="A487" s="39">
        <v>46181.0</v>
      </c>
      <c r="B487" s="36" t="s">
        <v>66</v>
      </c>
      <c r="C487" s="36" t="s">
        <v>24</v>
      </c>
      <c r="D487" s="37">
        <v>0.453472222222222</v>
      </c>
      <c r="E487" s="37">
        <v>0.479166666666667</v>
      </c>
      <c r="F487" s="38" t="str">
        <f t="shared" si="1"/>
        <v>37</v>
      </c>
      <c r="G487" s="8"/>
      <c r="H487" s="14" t="str">
        <f t="shared" si="2"/>
        <v>08/06</v>
      </c>
      <c r="I487" s="15" t="str">
        <f t="shared" si="3"/>
        <v>Matin</v>
      </c>
    </row>
    <row r="488" ht="14.25" customHeight="1">
      <c r="A488" s="39">
        <v>46183.0</v>
      </c>
      <c r="B488" s="36" t="s">
        <v>54</v>
      </c>
      <c r="C488" s="36" t="s">
        <v>24</v>
      </c>
      <c r="D488" s="37">
        <v>0.368055555555556</v>
      </c>
      <c r="E488" s="37">
        <v>0.371527777777778</v>
      </c>
      <c r="F488" s="38" t="str">
        <f t="shared" si="1"/>
        <v>5</v>
      </c>
      <c r="G488" s="8"/>
      <c r="H488" s="14" t="str">
        <f t="shared" si="2"/>
        <v>10/06</v>
      </c>
      <c r="I488" s="15" t="str">
        <f t="shared" si="3"/>
        <v>Matin</v>
      </c>
    </row>
    <row r="489" ht="14.25" customHeight="1">
      <c r="A489" s="39">
        <v>46183.0</v>
      </c>
      <c r="B489" s="36" t="s">
        <v>54</v>
      </c>
      <c r="C489" s="36" t="s">
        <v>24</v>
      </c>
      <c r="D489" s="37">
        <v>0.458333333333333</v>
      </c>
      <c r="E489" s="37">
        <v>0.46875</v>
      </c>
      <c r="F489" s="38" t="str">
        <f t="shared" si="1"/>
        <v>15</v>
      </c>
      <c r="G489" s="8"/>
      <c r="H489" s="14" t="str">
        <f t="shared" si="2"/>
        <v>10/06</v>
      </c>
      <c r="I489" s="15" t="str">
        <f t="shared" si="3"/>
        <v>Matin</v>
      </c>
    </row>
    <row r="490" ht="14.25" customHeight="1">
      <c r="A490" s="39">
        <v>46183.0</v>
      </c>
      <c r="B490" s="36" t="s">
        <v>54</v>
      </c>
      <c r="C490" s="36" t="s">
        <v>24</v>
      </c>
      <c r="D490" s="37">
        <v>0.5</v>
      </c>
      <c r="E490" s="37">
        <v>0.503472222222222</v>
      </c>
      <c r="F490" s="38" t="str">
        <f t="shared" si="1"/>
        <v>5</v>
      </c>
      <c r="G490" s="8"/>
      <c r="H490" s="14" t="str">
        <f t="shared" si="2"/>
        <v>10/06</v>
      </c>
      <c r="I490" s="15" t="str">
        <f t="shared" si="3"/>
        <v>Matin</v>
      </c>
    </row>
    <row r="491" ht="14.25" customHeight="1">
      <c r="A491" s="39">
        <v>46184.0</v>
      </c>
      <c r="B491" s="36" t="s">
        <v>54</v>
      </c>
      <c r="C491" s="36" t="s">
        <v>24</v>
      </c>
      <c r="D491" s="37">
        <v>0.494444444444445</v>
      </c>
      <c r="E491" s="37">
        <v>0.510416666666667</v>
      </c>
      <c r="F491" s="38" t="str">
        <f t="shared" si="1"/>
        <v>23</v>
      </c>
      <c r="G491" s="8"/>
      <c r="H491" s="14" t="str">
        <f t="shared" si="2"/>
        <v>11/06</v>
      </c>
      <c r="I491" s="15" t="str">
        <f t="shared" si="3"/>
        <v>Matin</v>
      </c>
    </row>
    <row r="492" ht="14.25" customHeight="1">
      <c r="A492" s="39">
        <v>46184.0</v>
      </c>
      <c r="B492" s="36" t="s">
        <v>54</v>
      </c>
      <c r="C492" s="36" t="s">
        <v>24</v>
      </c>
      <c r="D492" s="37">
        <v>0.527777777777778</v>
      </c>
      <c r="E492" s="37">
        <v>0.53125</v>
      </c>
      <c r="F492" s="38" t="str">
        <f t="shared" si="1"/>
        <v>5</v>
      </c>
      <c r="G492" s="8"/>
      <c r="H492" s="14" t="str">
        <f t="shared" si="2"/>
        <v>11/06</v>
      </c>
      <c r="I492" s="15" t="str">
        <f t="shared" si="3"/>
        <v>Matin</v>
      </c>
    </row>
    <row r="493" ht="14.25" customHeight="1">
      <c r="A493" s="39">
        <v>46185.0</v>
      </c>
      <c r="B493" s="36" t="s">
        <v>66</v>
      </c>
      <c r="C493" s="36" t="s">
        <v>24</v>
      </c>
      <c r="D493" s="37">
        <v>0.359722222222222</v>
      </c>
      <c r="E493" s="37">
        <v>0.364583333333333</v>
      </c>
      <c r="F493" s="38" t="str">
        <f t="shared" si="1"/>
        <v>7</v>
      </c>
      <c r="G493" s="8"/>
      <c r="H493" s="14" t="str">
        <f t="shared" si="2"/>
        <v>12/06</v>
      </c>
      <c r="I493" s="15" t="str">
        <f t="shared" si="3"/>
        <v>Matin</v>
      </c>
    </row>
    <row r="494" ht="14.25" customHeight="1">
      <c r="A494" s="39">
        <v>46185.0</v>
      </c>
      <c r="B494" s="36" t="s">
        <v>66</v>
      </c>
      <c r="C494" s="36" t="s">
        <v>24</v>
      </c>
      <c r="D494" s="37">
        <v>0.397222222222222</v>
      </c>
      <c r="E494" s="37">
        <v>0.486111111111111</v>
      </c>
      <c r="F494" s="38" t="str">
        <f t="shared" si="1"/>
        <v>128</v>
      </c>
      <c r="G494" s="8"/>
      <c r="H494" s="14" t="str">
        <f t="shared" si="2"/>
        <v>12/06</v>
      </c>
      <c r="I494" s="15" t="str">
        <f t="shared" si="3"/>
        <v>Matin</v>
      </c>
    </row>
    <row r="495" ht="14.25" customHeight="1">
      <c r="A495" s="39">
        <v>46185.0</v>
      </c>
      <c r="B495" s="36" t="s">
        <v>66</v>
      </c>
      <c r="C495" s="36" t="s">
        <v>24</v>
      </c>
      <c r="D495" s="37">
        <v>0.513888888888889</v>
      </c>
      <c r="E495" s="37">
        <v>0.527777777777778</v>
      </c>
      <c r="F495" s="38" t="str">
        <f t="shared" si="1"/>
        <v>20</v>
      </c>
      <c r="G495" s="8"/>
      <c r="H495" s="14" t="str">
        <f t="shared" si="2"/>
        <v>12/06</v>
      </c>
      <c r="I495" s="15" t="str">
        <f t="shared" si="3"/>
        <v>Matin</v>
      </c>
    </row>
  </sheetData>
  <mergeCells count="3">
    <mergeCell ref="A1:G1"/>
    <mergeCell ref="A2:G2"/>
    <mergeCell ref="A3:G3"/>
  </mergeCells>
  <printOptions/>
  <pageMargins bottom="1.0" footer="0.0" header="0.0" left="0.75" right="0.75" top="1.0"/>
  <pageSetup paperSize="9"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11.0"/>
    <col customWidth="1" min="2" max="2" width="12.0"/>
    <col customWidth="1" min="3" max="3" width="11.0"/>
    <col customWidth="1" min="4" max="4" width="13.0"/>
    <col customWidth="1" min="5" max="5" width="14.0"/>
    <col customWidth="1" min="6" max="6" width="15.0"/>
    <col customWidth="1" min="7" max="7" width="12.0"/>
    <col customWidth="1" min="8" max="10" width="13.0"/>
    <col customWidth="1" min="11" max="11" width="8.57"/>
  </cols>
  <sheetData>
    <row r="1" ht="18.0" customHeight="1">
      <c r="A1" s="1" t="s">
        <v>93</v>
      </c>
      <c r="J1" s="2"/>
    </row>
    <row r="2" ht="25.5" customHeight="1">
      <c r="A2" s="30" t="s">
        <v>94</v>
      </c>
      <c r="B2" s="31"/>
      <c r="C2" s="31"/>
      <c r="D2" s="31"/>
      <c r="E2" s="31"/>
      <c r="F2" s="31"/>
      <c r="G2" s="31"/>
      <c r="H2" s="31"/>
      <c r="I2" s="32"/>
      <c r="J2" s="2"/>
    </row>
    <row r="3" ht="14.25" customHeight="1">
      <c r="A3" s="2"/>
      <c r="B3" s="2"/>
      <c r="C3" s="2"/>
      <c r="D3" s="2"/>
      <c r="E3" s="2"/>
      <c r="F3" s="2"/>
      <c r="G3" s="2"/>
      <c r="H3" s="2"/>
      <c r="I3" s="2"/>
      <c r="J3" s="2"/>
    </row>
    <row r="4" ht="39.75" customHeight="1">
      <c r="A4" s="34" t="s">
        <v>95</v>
      </c>
      <c r="B4" s="34" t="s">
        <v>96</v>
      </c>
      <c r="C4" s="34" t="s">
        <v>45</v>
      </c>
      <c r="D4" s="34" t="s">
        <v>97</v>
      </c>
      <c r="E4" s="34" t="s">
        <v>98</v>
      </c>
      <c r="F4" s="34" t="s">
        <v>99</v>
      </c>
      <c r="G4" s="34" t="s">
        <v>100</v>
      </c>
      <c r="H4" s="34" t="s">
        <v>101</v>
      </c>
      <c r="I4" s="34" t="s">
        <v>102</v>
      </c>
      <c r="J4" s="34" t="s">
        <v>103</v>
      </c>
    </row>
    <row r="5" ht="15.0" customHeight="1">
      <c r="A5" s="40">
        <v>46147.0</v>
      </c>
      <c r="B5" s="11" t="s">
        <v>104</v>
      </c>
      <c r="C5" s="11" t="s">
        <v>27</v>
      </c>
      <c r="D5" s="13" t="str">
        <f>SUMIFS('2-SESSIONS SCIAGE'!$F:$F,'2-SESSIONS SCIAGE'!$I:$I,$A5,'2-SESSIONS SCIAGE'!$J:$J,$B5,'2-SESSIONS SCIAGE'!$C:$C,$C5,'2-SESSIONS SCIAGE'!$G:$G,"ok")</f>
        <v>413</v>
      </c>
      <c r="E5" s="13" t="str">
        <f>SUMIFS('2-SESSIONS SCIAGE'!$F:$F,'2-SESSIONS SCIAGE'!$I:$I,$A5,'2-SESSIONS SCIAGE'!$J:$J,$B5,'2-SESSIONS SCIAGE'!$C:$C,$C5,'2-SESSIONS SCIAGE'!$G:$G,"sciage un côté")+SUMIFS('2-SESSIONS SCIAGE'!$F:$F,'2-SESSIONS SCIAGE'!$I:$I,$A5,'2-SESSIONS SCIAGE'!$J:$J,$B5,'2-SESSIONS SCIAGE'!$C:$C,$C5,'2-SESSIONS SCIAGE'!$G:$G,"mauvaise épaisseur")+SUMIFS('2-SESSIONS SCIAGE'!$F:$F,'2-SESSIONS SCIAGE'!$I:$I,$A5,'2-SESSIONS SCIAGE'!$J:$J,$B5,'2-SESSIONS SCIAGE'!$C:$C,$C5,'2-SESSIONS SCIAGE'!$G:$G,"rayures")+SUMIFS('2-SESSIONS SCIAGE'!$F:$F,'2-SESSIONS SCIAGE'!$I:$I,$A5,'2-SESSIONS SCIAGE'!$J:$J,$B5,'2-SESSIONS SCIAGE'!$C:$C,$C5,'2-SESSIONS SCIAGE'!$G:$G,"deviation")</f>
        <v>0</v>
      </c>
      <c r="F5" s="13" t="str">
        <f>SUMIFS('2-SESSIONS SCIAGE'!$F:$F,'2-SESSIONS SCIAGE'!$I:$I,$A5,'2-SESSIONS SCIAGE'!$J:$J,$B5,'2-SESSIONS SCIAGE'!$C:$C,$C5,'2-SESSIONS SCIAGE'!$G:$G,"zéro")+SUMIFS('2-SESSIONS SCIAGE'!$F:$F,'2-SESSIONS SCIAGE'!$I:$I,$A5,'2-SESSIONS SCIAGE'!$J:$J,$B5,'2-SESSIONS SCIAGE'!$C:$C,$C5,'2-SESSIONS SCIAGE'!$G:$G,"panne mécanique")+SUMIFS('2-SESSIONS SCIAGE'!$F:$F,'2-SESSIONS SCIAGE'!$I:$I,$A5,'2-SESSIONS SCIAGE'!$J:$J,$B5,'2-SESSIONS SCIAGE'!$C:$C,$C5,'2-SESSIONS SCIAGE'!$G:$G,"panne électrique")</f>
        <v>33</v>
      </c>
      <c r="G5" s="13" t="str">
        <f>SUMIFS('3-CHANGEMENTS LAMES'!$F:$F,'3-CHANGEMENTS LAMES'!$H:$H,$A5,'3-CHANGEMENTS LAMES'!$I:$I,$B5,'3-CHANGEMENTS LAMES'!$C:$C,$C5)</f>
        <v>34</v>
      </c>
      <c r="H5" s="41" t="str">
        <f>SUMIFS('2-SESSIONS SCIAGE'!$H:$H,'2-SESSIONS SCIAGE'!$I:$I,$A5,'2-SESSIONS SCIAGE'!$J:$J,$B5,'2-SESSIONS SCIAGE'!$C:$C,$C5)</f>
        <v>0</v>
      </c>
      <c r="I5" s="41" t="str">
        <f t="shared" ref="I5:I99" si="1">F5+G5+H5</f>
        <v>67</v>
      </c>
      <c r="J5" s="41" t="str">
        <f t="shared" ref="J5:J99" si="2">D5+E5+I5</f>
        <v>480</v>
      </c>
    </row>
    <row r="6" ht="15.0" customHeight="1">
      <c r="A6" s="40">
        <v>46147.0</v>
      </c>
      <c r="B6" s="11" t="s">
        <v>105</v>
      </c>
      <c r="C6" s="11" t="s">
        <v>27</v>
      </c>
      <c r="D6" s="13" t="str">
        <f>SUMIFS('2-SESSIONS SCIAGE'!$F:$F,'2-SESSIONS SCIAGE'!$I:$I,$A6,'2-SESSIONS SCIAGE'!$J:$J,$B6,'2-SESSIONS SCIAGE'!$C:$C,$C6,'2-SESSIONS SCIAGE'!$G:$G,"ok")</f>
        <v>413</v>
      </c>
      <c r="E6" s="13" t="str">
        <f>SUMIFS('2-SESSIONS SCIAGE'!$F:$F,'2-SESSIONS SCIAGE'!$I:$I,$A6,'2-SESSIONS SCIAGE'!$J:$J,$B6,'2-SESSIONS SCIAGE'!$C:$C,$C6,'2-SESSIONS SCIAGE'!$G:$G,"sciage un côté")+SUMIFS('2-SESSIONS SCIAGE'!$F:$F,'2-SESSIONS SCIAGE'!$I:$I,$A6,'2-SESSIONS SCIAGE'!$J:$J,$B6,'2-SESSIONS SCIAGE'!$C:$C,$C6,'2-SESSIONS SCIAGE'!$G:$G,"mauvaise épaisseur")+SUMIFS('2-SESSIONS SCIAGE'!$F:$F,'2-SESSIONS SCIAGE'!$I:$I,$A6,'2-SESSIONS SCIAGE'!$J:$J,$B6,'2-SESSIONS SCIAGE'!$C:$C,$C6,'2-SESSIONS SCIAGE'!$G:$G,"rayures")+SUMIFS('2-SESSIONS SCIAGE'!$F:$F,'2-SESSIONS SCIAGE'!$I:$I,$A6,'2-SESSIONS SCIAGE'!$J:$J,$B6,'2-SESSIONS SCIAGE'!$C:$C,$C6,'2-SESSIONS SCIAGE'!$G:$G,"deviation")</f>
        <v>7</v>
      </c>
      <c r="F6" s="13" t="str">
        <f>SUMIFS('2-SESSIONS SCIAGE'!$F:$F,'2-SESSIONS SCIAGE'!$I:$I,$A6,'2-SESSIONS SCIAGE'!$J:$J,$B6,'2-SESSIONS SCIAGE'!$C:$C,$C6,'2-SESSIONS SCIAGE'!$G:$G,"zéro")+SUMIFS('2-SESSIONS SCIAGE'!$F:$F,'2-SESSIONS SCIAGE'!$I:$I,$A6,'2-SESSIONS SCIAGE'!$J:$J,$B6,'2-SESSIONS SCIAGE'!$C:$C,$C6,'2-SESSIONS SCIAGE'!$G:$G,"panne mécanique")+SUMIFS('2-SESSIONS SCIAGE'!$F:$F,'2-SESSIONS SCIAGE'!$I:$I,$A6,'2-SESSIONS SCIAGE'!$J:$J,$B6,'2-SESSIONS SCIAGE'!$C:$C,$C6,'2-SESSIONS SCIAGE'!$G:$G,"panne électrique")</f>
        <v>0</v>
      </c>
      <c r="G6" s="13" t="str">
        <f>SUMIFS('3-CHANGEMENTS LAMES'!$F:$F,'3-CHANGEMENTS LAMES'!$H:$H,$A6,'3-CHANGEMENTS LAMES'!$I:$I,$B6,'3-CHANGEMENTS LAMES'!$C:$C,$C6)</f>
        <v>46</v>
      </c>
      <c r="H6" s="41" t="str">
        <f>SUMIFS('2-SESSIONS SCIAGE'!$H:$H,'2-SESSIONS SCIAGE'!$I:$I,$A6,'2-SESSIONS SCIAGE'!$J:$J,$B6,'2-SESSIONS SCIAGE'!$C:$C,$C6)</f>
        <v>0</v>
      </c>
      <c r="I6" s="41" t="str">
        <f t="shared" si="1"/>
        <v>46</v>
      </c>
      <c r="J6" s="41" t="str">
        <f t="shared" si="2"/>
        <v>466</v>
      </c>
    </row>
    <row r="7" ht="15.0" customHeight="1">
      <c r="A7" s="40">
        <v>46148.0</v>
      </c>
      <c r="B7" s="11" t="s">
        <v>106</v>
      </c>
      <c r="C7" s="11" t="s">
        <v>27</v>
      </c>
      <c r="D7" s="13" t="str">
        <f>SUMIFS('2-SESSIONS SCIAGE'!$F:$F,'2-SESSIONS SCIAGE'!$I:$I,$A7,'2-SESSIONS SCIAGE'!$J:$J,$B7,'2-SESSIONS SCIAGE'!$C:$C,$C7,'2-SESSIONS SCIAGE'!$G:$G,"ok")</f>
        <v>451</v>
      </c>
      <c r="E7" s="13" t="str">
        <f>SUMIFS('2-SESSIONS SCIAGE'!$F:$F,'2-SESSIONS SCIAGE'!$I:$I,$A7,'2-SESSIONS SCIAGE'!$J:$J,$B7,'2-SESSIONS SCIAGE'!$C:$C,$C7,'2-SESSIONS SCIAGE'!$G:$G,"sciage un côté")+SUMIFS('2-SESSIONS SCIAGE'!$F:$F,'2-SESSIONS SCIAGE'!$I:$I,$A7,'2-SESSIONS SCIAGE'!$J:$J,$B7,'2-SESSIONS SCIAGE'!$C:$C,$C7,'2-SESSIONS SCIAGE'!$G:$G,"mauvaise épaisseur")+SUMIFS('2-SESSIONS SCIAGE'!$F:$F,'2-SESSIONS SCIAGE'!$I:$I,$A7,'2-SESSIONS SCIAGE'!$J:$J,$B7,'2-SESSIONS SCIAGE'!$C:$C,$C7,'2-SESSIONS SCIAGE'!$G:$G,"rayures")+SUMIFS('2-SESSIONS SCIAGE'!$F:$F,'2-SESSIONS SCIAGE'!$I:$I,$A7,'2-SESSIONS SCIAGE'!$J:$J,$B7,'2-SESSIONS SCIAGE'!$C:$C,$C7,'2-SESSIONS SCIAGE'!$G:$G,"deviation")</f>
        <v>0</v>
      </c>
      <c r="F7" s="13" t="str">
        <f>SUMIFS('2-SESSIONS SCIAGE'!$F:$F,'2-SESSIONS SCIAGE'!$I:$I,$A7,'2-SESSIONS SCIAGE'!$J:$J,$B7,'2-SESSIONS SCIAGE'!$C:$C,$C7,'2-SESSIONS SCIAGE'!$G:$G,"zéro")+SUMIFS('2-SESSIONS SCIAGE'!$F:$F,'2-SESSIONS SCIAGE'!$I:$I,$A7,'2-SESSIONS SCIAGE'!$J:$J,$B7,'2-SESSIONS SCIAGE'!$C:$C,$C7,'2-SESSIONS SCIAGE'!$G:$G,"panne mécanique")+SUMIFS('2-SESSIONS SCIAGE'!$F:$F,'2-SESSIONS SCIAGE'!$I:$I,$A7,'2-SESSIONS SCIAGE'!$J:$J,$B7,'2-SESSIONS SCIAGE'!$C:$C,$C7,'2-SESSIONS SCIAGE'!$G:$G,"panne électrique")</f>
        <v>0</v>
      </c>
      <c r="G7" s="13" t="str">
        <f>SUMIFS('3-CHANGEMENTS LAMES'!$F:$F,'3-CHANGEMENTS LAMES'!$H:$H,$A7,'3-CHANGEMENTS LAMES'!$I:$I,$B7,'3-CHANGEMENTS LAMES'!$C:$C,$C7)</f>
        <v>29</v>
      </c>
      <c r="H7" s="41" t="str">
        <f>SUMIFS('2-SESSIONS SCIAGE'!$H:$H,'2-SESSIONS SCIAGE'!$I:$I,$A7,'2-SESSIONS SCIAGE'!$J:$J,$B7,'2-SESSIONS SCIAGE'!$C:$C,$C7)</f>
        <v>14</v>
      </c>
      <c r="I7" s="41" t="str">
        <f t="shared" si="1"/>
        <v>43</v>
      </c>
      <c r="J7" s="41" t="str">
        <f t="shared" si="2"/>
        <v>494</v>
      </c>
    </row>
    <row r="8" ht="15.0" customHeight="1">
      <c r="A8" s="40">
        <v>46148.0</v>
      </c>
      <c r="B8" s="11" t="s">
        <v>104</v>
      </c>
      <c r="C8" s="11" t="s">
        <v>27</v>
      </c>
      <c r="D8" s="13" t="str">
        <f>SUMIFS('2-SESSIONS SCIAGE'!$F:$F,'2-SESSIONS SCIAGE'!$I:$I,$A8,'2-SESSIONS SCIAGE'!$J:$J,$B8,'2-SESSIONS SCIAGE'!$C:$C,$C8,'2-SESSIONS SCIAGE'!$G:$G,"ok")</f>
        <v>390</v>
      </c>
      <c r="E8" s="13" t="str">
        <f>SUMIFS('2-SESSIONS SCIAGE'!$F:$F,'2-SESSIONS SCIAGE'!$I:$I,$A8,'2-SESSIONS SCIAGE'!$J:$J,$B8,'2-SESSIONS SCIAGE'!$C:$C,$C8,'2-SESSIONS SCIAGE'!$G:$G,"sciage un côté")+SUMIFS('2-SESSIONS SCIAGE'!$F:$F,'2-SESSIONS SCIAGE'!$I:$I,$A8,'2-SESSIONS SCIAGE'!$J:$J,$B8,'2-SESSIONS SCIAGE'!$C:$C,$C8,'2-SESSIONS SCIAGE'!$G:$G,"mauvaise épaisseur")+SUMIFS('2-SESSIONS SCIAGE'!$F:$F,'2-SESSIONS SCIAGE'!$I:$I,$A8,'2-SESSIONS SCIAGE'!$J:$J,$B8,'2-SESSIONS SCIAGE'!$C:$C,$C8,'2-SESSIONS SCIAGE'!$G:$G,"rayures")+SUMIFS('2-SESSIONS SCIAGE'!$F:$F,'2-SESSIONS SCIAGE'!$I:$I,$A8,'2-SESSIONS SCIAGE'!$J:$J,$B8,'2-SESSIONS SCIAGE'!$C:$C,$C8,'2-SESSIONS SCIAGE'!$G:$G,"deviation")</f>
        <v>0</v>
      </c>
      <c r="F8" s="13" t="str">
        <f>SUMIFS('2-SESSIONS SCIAGE'!$F:$F,'2-SESSIONS SCIAGE'!$I:$I,$A8,'2-SESSIONS SCIAGE'!$J:$J,$B8,'2-SESSIONS SCIAGE'!$C:$C,$C8,'2-SESSIONS SCIAGE'!$G:$G,"zéro")+SUMIFS('2-SESSIONS SCIAGE'!$F:$F,'2-SESSIONS SCIAGE'!$I:$I,$A8,'2-SESSIONS SCIAGE'!$J:$J,$B8,'2-SESSIONS SCIAGE'!$C:$C,$C8,'2-SESSIONS SCIAGE'!$G:$G,"panne mécanique")+SUMIFS('2-SESSIONS SCIAGE'!$F:$F,'2-SESSIONS SCIAGE'!$I:$I,$A8,'2-SESSIONS SCIAGE'!$J:$J,$B8,'2-SESSIONS SCIAGE'!$C:$C,$C8,'2-SESSIONS SCIAGE'!$G:$G,"panne électrique")</f>
        <v>68</v>
      </c>
      <c r="G8" s="13" t="str">
        <f>SUMIFS('3-CHANGEMENTS LAMES'!$F:$F,'3-CHANGEMENTS LAMES'!$H:$H,$A8,'3-CHANGEMENTS LAMES'!$I:$I,$B8,'3-CHANGEMENTS LAMES'!$C:$C,$C8)</f>
        <v>22</v>
      </c>
      <c r="H8" s="41" t="str">
        <f>SUMIFS('2-SESSIONS SCIAGE'!$H:$H,'2-SESSIONS SCIAGE'!$I:$I,$A8,'2-SESSIONS SCIAGE'!$J:$J,$B8,'2-SESSIONS SCIAGE'!$C:$C,$C8)</f>
        <v>7</v>
      </c>
      <c r="I8" s="41" t="str">
        <f t="shared" si="1"/>
        <v>97</v>
      </c>
      <c r="J8" s="41" t="str">
        <f t="shared" si="2"/>
        <v>487</v>
      </c>
    </row>
    <row r="9" ht="15.0" customHeight="1">
      <c r="A9" s="40">
        <v>46148.0</v>
      </c>
      <c r="B9" s="11" t="s">
        <v>105</v>
      </c>
      <c r="C9" s="11" t="s">
        <v>27</v>
      </c>
      <c r="D9" s="13" t="str">
        <f>SUMIFS('2-SESSIONS SCIAGE'!$F:$F,'2-SESSIONS SCIAGE'!$I:$I,$A9,'2-SESSIONS SCIAGE'!$J:$J,$B9,'2-SESSIONS SCIAGE'!$C:$C,$C9,'2-SESSIONS SCIAGE'!$G:$G,"ok")</f>
        <v>424</v>
      </c>
      <c r="E9" s="13" t="str">
        <f>SUMIFS('2-SESSIONS SCIAGE'!$F:$F,'2-SESSIONS SCIAGE'!$I:$I,$A9,'2-SESSIONS SCIAGE'!$J:$J,$B9,'2-SESSIONS SCIAGE'!$C:$C,$C9,'2-SESSIONS SCIAGE'!$G:$G,"sciage un côté")+SUMIFS('2-SESSIONS SCIAGE'!$F:$F,'2-SESSIONS SCIAGE'!$I:$I,$A9,'2-SESSIONS SCIAGE'!$J:$J,$B9,'2-SESSIONS SCIAGE'!$C:$C,$C9,'2-SESSIONS SCIAGE'!$G:$G,"mauvaise épaisseur")+SUMIFS('2-SESSIONS SCIAGE'!$F:$F,'2-SESSIONS SCIAGE'!$I:$I,$A9,'2-SESSIONS SCIAGE'!$J:$J,$B9,'2-SESSIONS SCIAGE'!$C:$C,$C9,'2-SESSIONS SCIAGE'!$G:$G,"rayures")+SUMIFS('2-SESSIONS SCIAGE'!$F:$F,'2-SESSIONS SCIAGE'!$I:$I,$A9,'2-SESSIONS SCIAGE'!$J:$J,$B9,'2-SESSIONS SCIAGE'!$C:$C,$C9,'2-SESSIONS SCIAGE'!$G:$G,"deviation")</f>
        <v>0</v>
      </c>
      <c r="F9" s="13" t="str">
        <f>SUMIFS('2-SESSIONS SCIAGE'!$F:$F,'2-SESSIONS SCIAGE'!$I:$I,$A9,'2-SESSIONS SCIAGE'!$J:$J,$B9,'2-SESSIONS SCIAGE'!$C:$C,$C9,'2-SESSIONS SCIAGE'!$G:$G,"zéro")+SUMIFS('2-SESSIONS SCIAGE'!$F:$F,'2-SESSIONS SCIAGE'!$I:$I,$A9,'2-SESSIONS SCIAGE'!$J:$J,$B9,'2-SESSIONS SCIAGE'!$C:$C,$C9,'2-SESSIONS SCIAGE'!$G:$G,"panne mécanique")+SUMIFS('2-SESSIONS SCIAGE'!$F:$F,'2-SESSIONS SCIAGE'!$I:$I,$A9,'2-SESSIONS SCIAGE'!$J:$J,$B9,'2-SESSIONS SCIAGE'!$C:$C,$C9,'2-SESSIONS SCIAGE'!$G:$G,"panne électrique")</f>
        <v>0</v>
      </c>
      <c r="G9" s="13" t="str">
        <f>SUMIFS('3-CHANGEMENTS LAMES'!$F:$F,'3-CHANGEMENTS LAMES'!$H:$H,$A9,'3-CHANGEMENTS LAMES'!$I:$I,$B9,'3-CHANGEMENTS LAMES'!$C:$C,$C9)</f>
        <v>29</v>
      </c>
      <c r="H9" s="41" t="str">
        <f>SUMIFS('2-SESSIONS SCIAGE'!$H:$H,'2-SESSIONS SCIAGE'!$I:$I,$A9,'2-SESSIONS SCIAGE'!$J:$J,$B9,'2-SESSIONS SCIAGE'!$C:$C,$C9)</f>
        <v>17</v>
      </c>
      <c r="I9" s="41" t="str">
        <f t="shared" si="1"/>
        <v>46</v>
      </c>
      <c r="J9" s="41" t="str">
        <f t="shared" si="2"/>
        <v>470</v>
      </c>
    </row>
    <row r="10" ht="15.0" customHeight="1">
      <c r="A10" s="40">
        <v>46149.0</v>
      </c>
      <c r="B10" s="11" t="s">
        <v>106</v>
      </c>
      <c r="C10" s="11" t="s">
        <v>27</v>
      </c>
      <c r="D10" s="13" t="str">
        <f>SUMIFS('2-SESSIONS SCIAGE'!$F:$F,'2-SESSIONS SCIAGE'!$I:$I,$A10,'2-SESSIONS SCIAGE'!$J:$J,$B10,'2-SESSIONS SCIAGE'!$C:$C,$C10,'2-SESSIONS SCIAGE'!$G:$G,"ok")</f>
        <v>214</v>
      </c>
      <c r="E10" s="13" t="str">
        <f>SUMIFS('2-SESSIONS SCIAGE'!$F:$F,'2-SESSIONS SCIAGE'!$I:$I,$A10,'2-SESSIONS SCIAGE'!$J:$J,$B10,'2-SESSIONS SCIAGE'!$C:$C,$C10,'2-SESSIONS SCIAGE'!$G:$G,"sciage un côté")+SUMIFS('2-SESSIONS SCIAGE'!$F:$F,'2-SESSIONS SCIAGE'!$I:$I,$A10,'2-SESSIONS SCIAGE'!$J:$J,$B10,'2-SESSIONS SCIAGE'!$C:$C,$C10,'2-SESSIONS SCIAGE'!$G:$G,"mauvaise épaisseur")+SUMIFS('2-SESSIONS SCIAGE'!$F:$F,'2-SESSIONS SCIAGE'!$I:$I,$A10,'2-SESSIONS SCIAGE'!$J:$J,$B10,'2-SESSIONS SCIAGE'!$C:$C,$C10,'2-SESSIONS SCIAGE'!$G:$G,"rayures")+SUMIFS('2-SESSIONS SCIAGE'!$F:$F,'2-SESSIONS SCIAGE'!$I:$I,$A10,'2-SESSIONS SCIAGE'!$J:$J,$B10,'2-SESSIONS SCIAGE'!$C:$C,$C10,'2-SESSIONS SCIAGE'!$G:$G,"deviation")</f>
        <v>224</v>
      </c>
      <c r="F10" s="13" t="str">
        <f>SUMIFS('2-SESSIONS SCIAGE'!$F:$F,'2-SESSIONS SCIAGE'!$I:$I,$A10,'2-SESSIONS SCIAGE'!$J:$J,$B10,'2-SESSIONS SCIAGE'!$C:$C,$C10,'2-SESSIONS SCIAGE'!$G:$G,"zéro")+SUMIFS('2-SESSIONS SCIAGE'!$F:$F,'2-SESSIONS SCIAGE'!$I:$I,$A10,'2-SESSIONS SCIAGE'!$J:$J,$B10,'2-SESSIONS SCIAGE'!$C:$C,$C10,'2-SESSIONS SCIAGE'!$G:$G,"panne mécanique")+SUMIFS('2-SESSIONS SCIAGE'!$F:$F,'2-SESSIONS SCIAGE'!$I:$I,$A10,'2-SESSIONS SCIAGE'!$J:$J,$B10,'2-SESSIONS SCIAGE'!$C:$C,$C10,'2-SESSIONS SCIAGE'!$G:$G,"panne électrique")</f>
        <v>0</v>
      </c>
      <c r="G10" s="13" t="str">
        <f>SUMIFS('3-CHANGEMENTS LAMES'!$F:$F,'3-CHANGEMENTS LAMES'!$H:$H,$A10,'3-CHANGEMENTS LAMES'!$I:$I,$B10,'3-CHANGEMENTS LAMES'!$C:$C,$C10)</f>
        <v>42</v>
      </c>
      <c r="H10" s="41" t="str">
        <f>SUMIFS('2-SESSIONS SCIAGE'!$H:$H,'2-SESSIONS SCIAGE'!$I:$I,$A10,'2-SESSIONS SCIAGE'!$J:$J,$B10,'2-SESSIONS SCIAGE'!$C:$C,$C10)</f>
        <v>5</v>
      </c>
      <c r="I10" s="41" t="str">
        <f t="shared" si="1"/>
        <v>47</v>
      </c>
      <c r="J10" s="41" t="str">
        <f t="shared" si="2"/>
        <v>485</v>
      </c>
    </row>
    <row r="11" ht="15.0" customHeight="1">
      <c r="A11" s="40">
        <v>46149.0</v>
      </c>
      <c r="B11" s="11" t="s">
        <v>104</v>
      </c>
      <c r="C11" s="11" t="s">
        <v>27</v>
      </c>
      <c r="D11" s="13" t="str">
        <f>SUMIFS('2-SESSIONS SCIAGE'!$F:$F,'2-SESSIONS SCIAGE'!$I:$I,$A11,'2-SESSIONS SCIAGE'!$J:$J,$B11,'2-SESSIONS SCIAGE'!$C:$C,$C11,'2-SESSIONS SCIAGE'!$G:$G,"ok")</f>
        <v>404</v>
      </c>
      <c r="E11" s="13" t="str">
        <f>SUMIFS('2-SESSIONS SCIAGE'!$F:$F,'2-SESSIONS SCIAGE'!$I:$I,$A11,'2-SESSIONS SCIAGE'!$J:$J,$B11,'2-SESSIONS SCIAGE'!$C:$C,$C11,'2-SESSIONS SCIAGE'!$G:$G,"sciage un côté")+SUMIFS('2-SESSIONS SCIAGE'!$F:$F,'2-SESSIONS SCIAGE'!$I:$I,$A11,'2-SESSIONS SCIAGE'!$J:$J,$B11,'2-SESSIONS SCIAGE'!$C:$C,$C11,'2-SESSIONS SCIAGE'!$G:$G,"mauvaise épaisseur")+SUMIFS('2-SESSIONS SCIAGE'!$F:$F,'2-SESSIONS SCIAGE'!$I:$I,$A11,'2-SESSIONS SCIAGE'!$J:$J,$B11,'2-SESSIONS SCIAGE'!$C:$C,$C11,'2-SESSIONS SCIAGE'!$G:$G,"rayures")+SUMIFS('2-SESSIONS SCIAGE'!$F:$F,'2-SESSIONS SCIAGE'!$I:$I,$A11,'2-SESSIONS SCIAGE'!$J:$J,$B11,'2-SESSIONS SCIAGE'!$C:$C,$C11,'2-SESSIONS SCIAGE'!$G:$G,"deviation")</f>
        <v>0</v>
      </c>
      <c r="F11" s="13" t="str">
        <f>SUMIFS('2-SESSIONS SCIAGE'!$F:$F,'2-SESSIONS SCIAGE'!$I:$I,$A11,'2-SESSIONS SCIAGE'!$J:$J,$B11,'2-SESSIONS SCIAGE'!$C:$C,$C11,'2-SESSIONS SCIAGE'!$G:$G,"zéro")+SUMIFS('2-SESSIONS SCIAGE'!$F:$F,'2-SESSIONS SCIAGE'!$I:$I,$A11,'2-SESSIONS SCIAGE'!$J:$J,$B11,'2-SESSIONS SCIAGE'!$C:$C,$C11,'2-SESSIONS SCIAGE'!$G:$G,"panne mécanique")+SUMIFS('2-SESSIONS SCIAGE'!$F:$F,'2-SESSIONS SCIAGE'!$I:$I,$A11,'2-SESSIONS SCIAGE'!$J:$J,$B11,'2-SESSIONS SCIAGE'!$C:$C,$C11,'2-SESSIONS SCIAGE'!$G:$G,"panne électrique")</f>
        <v>26</v>
      </c>
      <c r="G11" s="13" t="str">
        <f>SUMIFS('3-CHANGEMENTS LAMES'!$F:$F,'3-CHANGEMENTS LAMES'!$H:$H,$A11,'3-CHANGEMENTS LAMES'!$I:$I,$B11,'3-CHANGEMENTS LAMES'!$C:$C,$C11)</f>
        <v>50</v>
      </c>
      <c r="H11" s="41" t="str">
        <f>SUMIFS('2-SESSIONS SCIAGE'!$H:$H,'2-SESSIONS SCIAGE'!$I:$I,$A11,'2-SESSIONS SCIAGE'!$J:$J,$B11,'2-SESSIONS SCIAGE'!$C:$C,$C11)</f>
        <v>15</v>
      </c>
      <c r="I11" s="41" t="str">
        <f t="shared" si="1"/>
        <v>91</v>
      </c>
      <c r="J11" s="41" t="str">
        <f t="shared" si="2"/>
        <v>495</v>
      </c>
    </row>
    <row r="12" ht="15.0" customHeight="1">
      <c r="A12" s="40">
        <v>46149.0</v>
      </c>
      <c r="B12" s="11" t="s">
        <v>105</v>
      </c>
      <c r="C12" s="11" t="s">
        <v>27</v>
      </c>
      <c r="D12" s="13" t="str">
        <f>SUMIFS('2-SESSIONS SCIAGE'!$F:$F,'2-SESSIONS SCIAGE'!$I:$I,$A12,'2-SESSIONS SCIAGE'!$J:$J,$B12,'2-SESSIONS SCIAGE'!$C:$C,$C12,'2-SESSIONS SCIAGE'!$G:$G,"ok")</f>
        <v>452</v>
      </c>
      <c r="E12" s="13" t="str">
        <f>SUMIFS('2-SESSIONS SCIAGE'!$F:$F,'2-SESSIONS SCIAGE'!$I:$I,$A12,'2-SESSIONS SCIAGE'!$J:$J,$B12,'2-SESSIONS SCIAGE'!$C:$C,$C12,'2-SESSIONS SCIAGE'!$G:$G,"sciage un côté")+SUMIFS('2-SESSIONS SCIAGE'!$F:$F,'2-SESSIONS SCIAGE'!$I:$I,$A12,'2-SESSIONS SCIAGE'!$J:$J,$B12,'2-SESSIONS SCIAGE'!$C:$C,$C12,'2-SESSIONS SCIAGE'!$G:$G,"mauvaise épaisseur")+SUMIFS('2-SESSIONS SCIAGE'!$F:$F,'2-SESSIONS SCIAGE'!$I:$I,$A12,'2-SESSIONS SCIAGE'!$J:$J,$B12,'2-SESSIONS SCIAGE'!$C:$C,$C12,'2-SESSIONS SCIAGE'!$G:$G,"rayures")+SUMIFS('2-SESSIONS SCIAGE'!$F:$F,'2-SESSIONS SCIAGE'!$I:$I,$A12,'2-SESSIONS SCIAGE'!$J:$J,$B12,'2-SESSIONS SCIAGE'!$C:$C,$C12,'2-SESSIONS SCIAGE'!$G:$G,"deviation")</f>
        <v>0</v>
      </c>
      <c r="F12" s="13" t="str">
        <f>SUMIFS('2-SESSIONS SCIAGE'!$F:$F,'2-SESSIONS SCIAGE'!$I:$I,$A12,'2-SESSIONS SCIAGE'!$J:$J,$B12,'2-SESSIONS SCIAGE'!$C:$C,$C12,'2-SESSIONS SCIAGE'!$G:$G,"zéro")+SUMIFS('2-SESSIONS SCIAGE'!$F:$F,'2-SESSIONS SCIAGE'!$I:$I,$A12,'2-SESSIONS SCIAGE'!$J:$J,$B12,'2-SESSIONS SCIAGE'!$C:$C,$C12,'2-SESSIONS SCIAGE'!$G:$G,"panne mécanique")+SUMIFS('2-SESSIONS SCIAGE'!$F:$F,'2-SESSIONS SCIAGE'!$I:$I,$A12,'2-SESSIONS SCIAGE'!$J:$J,$B12,'2-SESSIONS SCIAGE'!$C:$C,$C12,'2-SESSIONS SCIAGE'!$G:$G,"panne électrique")</f>
        <v>0</v>
      </c>
      <c r="G12" s="13" t="str">
        <f>SUMIFS('3-CHANGEMENTS LAMES'!$F:$F,'3-CHANGEMENTS LAMES'!$H:$H,$A12,'3-CHANGEMENTS LAMES'!$I:$I,$B12,'3-CHANGEMENTS LAMES'!$C:$C,$C12)</f>
        <v>13</v>
      </c>
      <c r="H12" s="41" t="str">
        <f>SUMIFS('2-SESSIONS SCIAGE'!$H:$H,'2-SESSIONS SCIAGE'!$I:$I,$A12,'2-SESSIONS SCIAGE'!$J:$J,$B12,'2-SESSIONS SCIAGE'!$C:$C,$C12)</f>
        <v>3</v>
      </c>
      <c r="I12" s="41" t="str">
        <f t="shared" si="1"/>
        <v>16</v>
      </c>
      <c r="J12" s="41" t="str">
        <f t="shared" si="2"/>
        <v>468</v>
      </c>
    </row>
    <row r="13" ht="15.0" customHeight="1">
      <c r="A13" s="40">
        <v>46150.0</v>
      </c>
      <c r="B13" s="11" t="s">
        <v>106</v>
      </c>
      <c r="C13" s="11" t="s">
        <v>27</v>
      </c>
      <c r="D13" s="13" t="str">
        <f>SUMIFS('2-SESSIONS SCIAGE'!$F:$F,'2-SESSIONS SCIAGE'!$I:$I,$A13,'2-SESSIONS SCIAGE'!$J:$J,$B13,'2-SESSIONS SCIAGE'!$C:$C,$C13,'2-SESSIONS SCIAGE'!$G:$G,"ok")</f>
        <v>271</v>
      </c>
      <c r="E13" s="13" t="str">
        <f>SUMIFS('2-SESSIONS SCIAGE'!$F:$F,'2-SESSIONS SCIAGE'!$I:$I,$A13,'2-SESSIONS SCIAGE'!$J:$J,$B13,'2-SESSIONS SCIAGE'!$C:$C,$C13,'2-SESSIONS SCIAGE'!$G:$G,"sciage un côté")+SUMIFS('2-SESSIONS SCIAGE'!$F:$F,'2-SESSIONS SCIAGE'!$I:$I,$A13,'2-SESSIONS SCIAGE'!$J:$J,$B13,'2-SESSIONS SCIAGE'!$C:$C,$C13,'2-SESSIONS SCIAGE'!$G:$G,"mauvaise épaisseur")+SUMIFS('2-SESSIONS SCIAGE'!$F:$F,'2-SESSIONS SCIAGE'!$I:$I,$A13,'2-SESSIONS SCIAGE'!$J:$J,$B13,'2-SESSIONS SCIAGE'!$C:$C,$C13,'2-SESSIONS SCIAGE'!$G:$G,"rayures")+SUMIFS('2-SESSIONS SCIAGE'!$F:$F,'2-SESSIONS SCIAGE'!$I:$I,$A13,'2-SESSIONS SCIAGE'!$J:$J,$B13,'2-SESSIONS SCIAGE'!$C:$C,$C13,'2-SESSIONS SCIAGE'!$G:$G,"deviation")</f>
        <v>141</v>
      </c>
      <c r="F13" s="13" t="str">
        <f>SUMIFS('2-SESSIONS SCIAGE'!$F:$F,'2-SESSIONS SCIAGE'!$I:$I,$A13,'2-SESSIONS SCIAGE'!$J:$J,$B13,'2-SESSIONS SCIAGE'!$C:$C,$C13,'2-SESSIONS SCIAGE'!$G:$G,"zéro")+SUMIFS('2-SESSIONS SCIAGE'!$F:$F,'2-SESSIONS SCIAGE'!$I:$I,$A13,'2-SESSIONS SCIAGE'!$J:$J,$B13,'2-SESSIONS SCIAGE'!$C:$C,$C13,'2-SESSIONS SCIAGE'!$G:$G,"panne mécanique")+SUMIFS('2-SESSIONS SCIAGE'!$F:$F,'2-SESSIONS SCIAGE'!$I:$I,$A13,'2-SESSIONS SCIAGE'!$J:$J,$B13,'2-SESSIONS SCIAGE'!$C:$C,$C13,'2-SESSIONS SCIAGE'!$G:$G,"panne électrique")</f>
        <v>0</v>
      </c>
      <c r="G13" s="13" t="str">
        <f>SUMIFS('3-CHANGEMENTS LAMES'!$F:$F,'3-CHANGEMENTS LAMES'!$H:$H,$A13,'3-CHANGEMENTS LAMES'!$I:$I,$B13,'3-CHANGEMENTS LAMES'!$C:$C,$C13)</f>
        <v>68</v>
      </c>
      <c r="H13" s="41" t="str">
        <f>SUMIFS('2-SESSIONS SCIAGE'!$H:$H,'2-SESSIONS SCIAGE'!$I:$I,$A13,'2-SESSIONS SCIAGE'!$J:$J,$B13,'2-SESSIONS SCIAGE'!$C:$C,$C13)</f>
        <v>5</v>
      </c>
      <c r="I13" s="41" t="str">
        <f t="shared" si="1"/>
        <v>73</v>
      </c>
      <c r="J13" s="41" t="str">
        <f t="shared" si="2"/>
        <v>485</v>
      </c>
    </row>
    <row r="14" ht="15.0" customHeight="1">
      <c r="A14" s="40">
        <v>46150.0</v>
      </c>
      <c r="B14" s="11" t="s">
        <v>104</v>
      </c>
      <c r="C14" s="11" t="s">
        <v>27</v>
      </c>
      <c r="D14" s="13" t="str">
        <f>SUMIFS('2-SESSIONS SCIAGE'!$F:$F,'2-SESSIONS SCIAGE'!$I:$I,$A14,'2-SESSIONS SCIAGE'!$J:$J,$B14,'2-SESSIONS SCIAGE'!$C:$C,$C14,'2-SESSIONS SCIAGE'!$G:$G,"ok")</f>
        <v>305</v>
      </c>
      <c r="E14" s="13" t="str">
        <f>SUMIFS('2-SESSIONS SCIAGE'!$F:$F,'2-SESSIONS SCIAGE'!$I:$I,$A14,'2-SESSIONS SCIAGE'!$J:$J,$B14,'2-SESSIONS SCIAGE'!$C:$C,$C14,'2-SESSIONS SCIAGE'!$G:$G,"sciage un côté")+SUMIFS('2-SESSIONS SCIAGE'!$F:$F,'2-SESSIONS SCIAGE'!$I:$I,$A14,'2-SESSIONS SCIAGE'!$J:$J,$B14,'2-SESSIONS SCIAGE'!$C:$C,$C14,'2-SESSIONS SCIAGE'!$G:$G,"mauvaise épaisseur")+SUMIFS('2-SESSIONS SCIAGE'!$F:$F,'2-SESSIONS SCIAGE'!$I:$I,$A14,'2-SESSIONS SCIAGE'!$J:$J,$B14,'2-SESSIONS SCIAGE'!$C:$C,$C14,'2-SESSIONS SCIAGE'!$G:$G,"rayures")+SUMIFS('2-SESSIONS SCIAGE'!$F:$F,'2-SESSIONS SCIAGE'!$I:$I,$A14,'2-SESSIONS SCIAGE'!$J:$J,$B14,'2-SESSIONS SCIAGE'!$C:$C,$C14,'2-SESSIONS SCIAGE'!$G:$G,"deviation")</f>
        <v>100</v>
      </c>
      <c r="F14" s="13" t="str">
        <f>SUMIFS('2-SESSIONS SCIAGE'!$F:$F,'2-SESSIONS SCIAGE'!$I:$I,$A14,'2-SESSIONS SCIAGE'!$J:$J,$B14,'2-SESSIONS SCIAGE'!$C:$C,$C14,'2-SESSIONS SCIAGE'!$G:$G,"zéro")+SUMIFS('2-SESSIONS SCIAGE'!$F:$F,'2-SESSIONS SCIAGE'!$I:$I,$A14,'2-SESSIONS SCIAGE'!$J:$J,$B14,'2-SESSIONS SCIAGE'!$C:$C,$C14,'2-SESSIONS SCIAGE'!$G:$G,"panne mécanique")+SUMIFS('2-SESSIONS SCIAGE'!$F:$F,'2-SESSIONS SCIAGE'!$I:$I,$A14,'2-SESSIONS SCIAGE'!$J:$J,$B14,'2-SESSIONS SCIAGE'!$C:$C,$C14,'2-SESSIONS SCIAGE'!$G:$G,"panne électrique")</f>
        <v>0</v>
      </c>
      <c r="G14" s="13" t="str">
        <f>SUMIFS('3-CHANGEMENTS LAMES'!$F:$F,'3-CHANGEMENTS LAMES'!$H:$H,$A14,'3-CHANGEMENTS LAMES'!$I:$I,$B14,'3-CHANGEMENTS LAMES'!$C:$C,$C14)</f>
        <v>75</v>
      </c>
      <c r="H14" s="41" t="str">
        <f>SUMIFS('2-SESSIONS SCIAGE'!$H:$H,'2-SESSIONS SCIAGE'!$I:$I,$A14,'2-SESSIONS SCIAGE'!$J:$J,$B14,'2-SESSIONS SCIAGE'!$C:$C,$C14)</f>
        <v>5</v>
      </c>
      <c r="I14" s="41" t="str">
        <f t="shared" si="1"/>
        <v>80</v>
      </c>
      <c r="J14" s="41" t="str">
        <f t="shared" si="2"/>
        <v>485</v>
      </c>
    </row>
    <row r="15" ht="15.0" customHeight="1">
      <c r="A15" s="40">
        <v>46150.0</v>
      </c>
      <c r="B15" s="11" t="s">
        <v>105</v>
      </c>
      <c r="C15" s="11" t="s">
        <v>27</v>
      </c>
      <c r="D15" s="13" t="str">
        <f>SUMIFS('2-SESSIONS SCIAGE'!$F:$F,'2-SESSIONS SCIAGE'!$I:$I,$A15,'2-SESSIONS SCIAGE'!$J:$J,$B15,'2-SESSIONS SCIAGE'!$C:$C,$C15,'2-SESSIONS SCIAGE'!$G:$G,"ok")</f>
        <v>291</v>
      </c>
      <c r="E15" s="13" t="str">
        <f>SUMIFS('2-SESSIONS SCIAGE'!$F:$F,'2-SESSIONS SCIAGE'!$I:$I,$A15,'2-SESSIONS SCIAGE'!$J:$J,$B15,'2-SESSIONS SCIAGE'!$C:$C,$C15,'2-SESSIONS SCIAGE'!$G:$G,"sciage un côté")+SUMIFS('2-SESSIONS SCIAGE'!$F:$F,'2-SESSIONS SCIAGE'!$I:$I,$A15,'2-SESSIONS SCIAGE'!$J:$J,$B15,'2-SESSIONS SCIAGE'!$C:$C,$C15,'2-SESSIONS SCIAGE'!$G:$G,"mauvaise épaisseur")+SUMIFS('2-SESSIONS SCIAGE'!$F:$F,'2-SESSIONS SCIAGE'!$I:$I,$A15,'2-SESSIONS SCIAGE'!$J:$J,$B15,'2-SESSIONS SCIAGE'!$C:$C,$C15,'2-SESSIONS SCIAGE'!$G:$G,"rayures")+SUMIFS('2-SESSIONS SCIAGE'!$F:$F,'2-SESSIONS SCIAGE'!$I:$I,$A15,'2-SESSIONS SCIAGE'!$J:$J,$B15,'2-SESSIONS SCIAGE'!$C:$C,$C15,'2-SESSIONS SCIAGE'!$G:$G,"deviation")</f>
        <v>128</v>
      </c>
      <c r="F15" s="13" t="str">
        <f>SUMIFS('2-SESSIONS SCIAGE'!$F:$F,'2-SESSIONS SCIAGE'!$I:$I,$A15,'2-SESSIONS SCIAGE'!$J:$J,$B15,'2-SESSIONS SCIAGE'!$C:$C,$C15,'2-SESSIONS SCIAGE'!$G:$G,"zéro")+SUMIFS('2-SESSIONS SCIAGE'!$F:$F,'2-SESSIONS SCIAGE'!$I:$I,$A15,'2-SESSIONS SCIAGE'!$J:$J,$B15,'2-SESSIONS SCIAGE'!$C:$C,$C15,'2-SESSIONS SCIAGE'!$G:$G,"panne mécanique")+SUMIFS('2-SESSIONS SCIAGE'!$F:$F,'2-SESSIONS SCIAGE'!$I:$I,$A15,'2-SESSIONS SCIAGE'!$J:$J,$B15,'2-SESSIONS SCIAGE'!$C:$C,$C15,'2-SESSIONS SCIAGE'!$G:$G,"panne électrique")</f>
        <v>0</v>
      </c>
      <c r="G15" s="13" t="str">
        <f>SUMIFS('3-CHANGEMENTS LAMES'!$F:$F,'3-CHANGEMENTS LAMES'!$H:$H,$A15,'3-CHANGEMENTS LAMES'!$I:$I,$B15,'3-CHANGEMENTS LAMES'!$C:$C,$C15)</f>
        <v>38</v>
      </c>
      <c r="H15" s="41" t="str">
        <f>SUMIFS('2-SESSIONS SCIAGE'!$H:$H,'2-SESSIONS SCIAGE'!$I:$I,$A15,'2-SESSIONS SCIAGE'!$J:$J,$B15,'2-SESSIONS SCIAGE'!$C:$C,$C15)</f>
        <v>23</v>
      </c>
      <c r="I15" s="41" t="str">
        <f t="shared" si="1"/>
        <v>61</v>
      </c>
      <c r="J15" s="41" t="str">
        <f t="shared" si="2"/>
        <v>480</v>
      </c>
    </row>
    <row r="16" ht="15.0" customHeight="1">
      <c r="A16" s="40">
        <v>46151.0</v>
      </c>
      <c r="B16" s="11" t="s">
        <v>106</v>
      </c>
      <c r="C16" s="11" t="s">
        <v>27</v>
      </c>
      <c r="D16" s="13" t="str">
        <f>SUMIFS('2-SESSIONS SCIAGE'!$F:$F,'2-SESSIONS SCIAGE'!$I:$I,$A16,'2-SESSIONS SCIAGE'!$J:$J,$B16,'2-SESSIONS SCIAGE'!$C:$C,$C16,'2-SESSIONS SCIAGE'!$G:$G,"ok")</f>
        <v>404</v>
      </c>
      <c r="E16" s="13" t="str">
        <f>SUMIFS('2-SESSIONS SCIAGE'!$F:$F,'2-SESSIONS SCIAGE'!$I:$I,$A16,'2-SESSIONS SCIAGE'!$J:$J,$B16,'2-SESSIONS SCIAGE'!$C:$C,$C16,'2-SESSIONS SCIAGE'!$G:$G,"sciage un côté")+SUMIFS('2-SESSIONS SCIAGE'!$F:$F,'2-SESSIONS SCIAGE'!$I:$I,$A16,'2-SESSIONS SCIAGE'!$J:$J,$B16,'2-SESSIONS SCIAGE'!$C:$C,$C16,'2-SESSIONS SCIAGE'!$G:$G,"mauvaise épaisseur")+SUMIFS('2-SESSIONS SCIAGE'!$F:$F,'2-SESSIONS SCIAGE'!$I:$I,$A16,'2-SESSIONS SCIAGE'!$J:$J,$B16,'2-SESSIONS SCIAGE'!$C:$C,$C16,'2-SESSIONS SCIAGE'!$G:$G,"rayures")+SUMIFS('2-SESSIONS SCIAGE'!$F:$F,'2-SESSIONS SCIAGE'!$I:$I,$A16,'2-SESSIONS SCIAGE'!$J:$J,$B16,'2-SESSIONS SCIAGE'!$C:$C,$C16,'2-SESSIONS SCIAGE'!$G:$G,"deviation")</f>
        <v>0</v>
      </c>
      <c r="F16" s="13" t="str">
        <f>SUMIFS('2-SESSIONS SCIAGE'!$F:$F,'2-SESSIONS SCIAGE'!$I:$I,$A16,'2-SESSIONS SCIAGE'!$J:$J,$B16,'2-SESSIONS SCIAGE'!$C:$C,$C16,'2-SESSIONS SCIAGE'!$G:$G,"zéro")+SUMIFS('2-SESSIONS SCIAGE'!$F:$F,'2-SESSIONS SCIAGE'!$I:$I,$A16,'2-SESSIONS SCIAGE'!$J:$J,$B16,'2-SESSIONS SCIAGE'!$C:$C,$C16,'2-SESSIONS SCIAGE'!$G:$G,"panne mécanique")+SUMIFS('2-SESSIONS SCIAGE'!$F:$F,'2-SESSIONS SCIAGE'!$I:$I,$A16,'2-SESSIONS SCIAGE'!$J:$J,$B16,'2-SESSIONS SCIAGE'!$C:$C,$C16,'2-SESSIONS SCIAGE'!$G:$G,"panne électrique")</f>
        <v>0</v>
      </c>
      <c r="G16" s="13" t="str">
        <f>SUMIFS('3-CHANGEMENTS LAMES'!$F:$F,'3-CHANGEMENTS LAMES'!$H:$H,$A16,'3-CHANGEMENTS LAMES'!$I:$I,$B16,'3-CHANGEMENTS LAMES'!$C:$C,$C16)</f>
        <v>43</v>
      </c>
      <c r="H16" s="41" t="str">
        <f>SUMIFS('2-SESSIONS SCIAGE'!$H:$H,'2-SESSIONS SCIAGE'!$I:$I,$A16,'2-SESSIONS SCIAGE'!$J:$J,$B16,'2-SESSIONS SCIAGE'!$C:$C,$C16)</f>
        <v>5</v>
      </c>
      <c r="I16" s="41" t="str">
        <f t="shared" si="1"/>
        <v>48</v>
      </c>
      <c r="J16" s="41" t="str">
        <f t="shared" si="2"/>
        <v>452</v>
      </c>
    </row>
    <row r="17" ht="15.0" customHeight="1">
      <c r="A17" s="40">
        <v>46151.0</v>
      </c>
      <c r="B17" s="11" t="s">
        <v>104</v>
      </c>
      <c r="C17" s="11" t="s">
        <v>27</v>
      </c>
      <c r="D17" s="13" t="str">
        <f>SUMIFS('2-SESSIONS SCIAGE'!$F:$F,'2-SESSIONS SCIAGE'!$I:$I,$A17,'2-SESSIONS SCIAGE'!$J:$J,$B17,'2-SESSIONS SCIAGE'!$C:$C,$C17,'2-SESSIONS SCIAGE'!$G:$G,"ok")</f>
        <v>290</v>
      </c>
      <c r="E17" s="13" t="str">
        <f>SUMIFS('2-SESSIONS SCIAGE'!$F:$F,'2-SESSIONS SCIAGE'!$I:$I,$A17,'2-SESSIONS SCIAGE'!$J:$J,$B17,'2-SESSIONS SCIAGE'!$C:$C,$C17,'2-SESSIONS SCIAGE'!$G:$G,"sciage un côté")+SUMIFS('2-SESSIONS SCIAGE'!$F:$F,'2-SESSIONS SCIAGE'!$I:$I,$A17,'2-SESSIONS SCIAGE'!$J:$J,$B17,'2-SESSIONS SCIAGE'!$C:$C,$C17,'2-SESSIONS SCIAGE'!$G:$G,"mauvaise épaisseur")+SUMIFS('2-SESSIONS SCIAGE'!$F:$F,'2-SESSIONS SCIAGE'!$I:$I,$A17,'2-SESSIONS SCIAGE'!$J:$J,$B17,'2-SESSIONS SCIAGE'!$C:$C,$C17,'2-SESSIONS SCIAGE'!$G:$G,"rayures")+SUMIFS('2-SESSIONS SCIAGE'!$F:$F,'2-SESSIONS SCIAGE'!$I:$I,$A17,'2-SESSIONS SCIAGE'!$J:$J,$B17,'2-SESSIONS SCIAGE'!$C:$C,$C17,'2-SESSIONS SCIAGE'!$G:$G,"deviation")</f>
        <v>88</v>
      </c>
      <c r="F17" s="13" t="str">
        <f>SUMIFS('2-SESSIONS SCIAGE'!$F:$F,'2-SESSIONS SCIAGE'!$I:$I,$A17,'2-SESSIONS SCIAGE'!$J:$J,$B17,'2-SESSIONS SCIAGE'!$C:$C,$C17,'2-SESSIONS SCIAGE'!$G:$G,"zéro")+SUMIFS('2-SESSIONS SCIAGE'!$F:$F,'2-SESSIONS SCIAGE'!$I:$I,$A17,'2-SESSIONS SCIAGE'!$J:$J,$B17,'2-SESSIONS SCIAGE'!$C:$C,$C17,'2-SESSIONS SCIAGE'!$G:$G,"panne mécanique")+SUMIFS('2-SESSIONS SCIAGE'!$F:$F,'2-SESSIONS SCIAGE'!$I:$I,$A17,'2-SESSIONS SCIAGE'!$J:$J,$B17,'2-SESSIONS SCIAGE'!$C:$C,$C17,'2-SESSIONS SCIAGE'!$G:$G,"panne électrique")</f>
        <v>45</v>
      </c>
      <c r="G17" s="13" t="str">
        <f>SUMIFS('3-CHANGEMENTS LAMES'!$F:$F,'3-CHANGEMENTS LAMES'!$H:$H,$A17,'3-CHANGEMENTS LAMES'!$I:$I,$B17,'3-CHANGEMENTS LAMES'!$C:$C,$C17)</f>
        <v>57</v>
      </c>
      <c r="H17" s="41" t="str">
        <f>SUMIFS('2-SESSIONS SCIAGE'!$H:$H,'2-SESSIONS SCIAGE'!$I:$I,$A17,'2-SESSIONS SCIAGE'!$J:$J,$B17,'2-SESSIONS SCIAGE'!$C:$C,$C17)</f>
        <v>5</v>
      </c>
      <c r="I17" s="41" t="str">
        <f t="shared" si="1"/>
        <v>107</v>
      </c>
      <c r="J17" s="41" t="str">
        <f t="shared" si="2"/>
        <v>485</v>
      </c>
    </row>
    <row r="18" ht="15.0" customHeight="1">
      <c r="A18" s="40">
        <v>46151.0</v>
      </c>
      <c r="B18" s="11" t="s">
        <v>105</v>
      </c>
      <c r="C18" s="11" t="s">
        <v>27</v>
      </c>
      <c r="D18" s="13" t="str">
        <f>SUMIFS('2-SESSIONS SCIAGE'!$F:$F,'2-SESSIONS SCIAGE'!$I:$I,$A18,'2-SESSIONS SCIAGE'!$J:$J,$B18,'2-SESSIONS SCIAGE'!$C:$C,$C18,'2-SESSIONS SCIAGE'!$G:$G,"ok")</f>
        <v>450</v>
      </c>
      <c r="E18" s="13" t="str">
        <f>SUMIFS('2-SESSIONS SCIAGE'!$F:$F,'2-SESSIONS SCIAGE'!$I:$I,$A18,'2-SESSIONS SCIAGE'!$J:$J,$B18,'2-SESSIONS SCIAGE'!$C:$C,$C18,'2-SESSIONS SCIAGE'!$G:$G,"sciage un côté")+SUMIFS('2-SESSIONS SCIAGE'!$F:$F,'2-SESSIONS SCIAGE'!$I:$I,$A18,'2-SESSIONS SCIAGE'!$J:$J,$B18,'2-SESSIONS SCIAGE'!$C:$C,$C18,'2-SESSIONS SCIAGE'!$G:$G,"mauvaise épaisseur")+SUMIFS('2-SESSIONS SCIAGE'!$F:$F,'2-SESSIONS SCIAGE'!$I:$I,$A18,'2-SESSIONS SCIAGE'!$J:$J,$B18,'2-SESSIONS SCIAGE'!$C:$C,$C18,'2-SESSIONS SCIAGE'!$G:$G,"rayures")+SUMIFS('2-SESSIONS SCIAGE'!$F:$F,'2-SESSIONS SCIAGE'!$I:$I,$A18,'2-SESSIONS SCIAGE'!$J:$J,$B18,'2-SESSIONS SCIAGE'!$C:$C,$C18,'2-SESSIONS SCIAGE'!$G:$G,"deviation")</f>
        <v>0</v>
      </c>
      <c r="F18" s="13" t="str">
        <f>SUMIFS('2-SESSIONS SCIAGE'!$F:$F,'2-SESSIONS SCIAGE'!$I:$I,$A18,'2-SESSIONS SCIAGE'!$J:$J,$B18,'2-SESSIONS SCIAGE'!$C:$C,$C18,'2-SESSIONS SCIAGE'!$G:$G,"zéro")+SUMIFS('2-SESSIONS SCIAGE'!$F:$F,'2-SESSIONS SCIAGE'!$I:$I,$A18,'2-SESSIONS SCIAGE'!$J:$J,$B18,'2-SESSIONS SCIAGE'!$C:$C,$C18,'2-SESSIONS SCIAGE'!$G:$G,"panne mécanique")+SUMIFS('2-SESSIONS SCIAGE'!$F:$F,'2-SESSIONS SCIAGE'!$I:$I,$A18,'2-SESSIONS SCIAGE'!$J:$J,$B18,'2-SESSIONS SCIAGE'!$C:$C,$C18,'2-SESSIONS SCIAGE'!$G:$G,"panne électrique")</f>
        <v>0</v>
      </c>
      <c r="G18" s="13" t="str">
        <f>SUMIFS('3-CHANGEMENTS LAMES'!$F:$F,'3-CHANGEMENTS LAMES'!$H:$H,$A18,'3-CHANGEMENTS LAMES'!$I:$I,$B18,'3-CHANGEMENTS LAMES'!$C:$C,$C18)</f>
        <v>12</v>
      </c>
      <c r="H18" s="41" t="str">
        <f>SUMIFS('2-SESSIONS SCIAGE'!$H:$H,'2-SESSIONS SCIAGE'!$I:$I,$A18,'2-SESSIONS SCIAGE'!$J:$J,$B18,'2-SESSIONS SCIAGE'!$C:$C,$C18)</f>
        <v>5</v>
      </c>
      <c r="I18" s="41" t="str">
        <f t="shared" si="1"/>
        <v>17</v>
      </c>
      <c r="J18" s="41" t="str">
        <f t="shared" si="2"/>
        <v>467</v>
      </c>
    </row>
    <row r="19" ht="15.0" customHeight="1">
      <c r="A19" s="40">
        <v>46152.0</v>
      </c>
      <c r="B19" s="11" t="s">
        <v>106</v>
      </c>
      <c r="C19" s="11" t="s">
        <v>27</v>
      </c>
      <c r="D19" s="13" t="str">
        <f>SUMIFS('2-SESSIONS SCIAGE'!$F:$F,'2-SESSIONS SCIAGE'!$I:$I,$A19,'2-SESSIONS SCIAGE'!$J:$J,$B19,'2-SESSIONS SCIAGE'!$C:$C,$C19,'2-SESSIONS SCIAGE'!$G:$G,"ok")</f>
        <v>287</v>
      </c>
      <c r="E19" s="13" t="str">
        <f>SUMIFS('2-SESSIONS SCIAGE'!$F:$F,'2-SESSIONS SCIAGE'!$I:$I,$A19,'2-SESSIONS SCIAGE'!$J:$J,$B19,'2-SESSIONS SCIAGE'!$C:$C,$C19,'2-SESSIONS SCIAGE'!$G:$G,"sciage un côté")+SUMIFS('2-SESSIONS SCIAGE'!$F:$F,'2-SESSIONS SCIAGE'!$I:$I,$A19,'2-SESSIONS SCIAGE'!$J:$J,$B19,'2-SESSIONS SCIAGE'!$C:$C,$C19,'2-SESSIONS SCIAGE'!$G:$G,"mauvaise épaisseur")+SUMIFS('2-SESSIONS SCIAGE'!$F:$F,'2-SESSIONS SCIAGE'!$I:$I,$A19,'2-SESSIONS SCIAGE'!$J:$J,$B19,'2-SESSIONS SCIAGE'!$C:$C,$C19,'2-SESSIONS SCIAGE'!$G:$G,"rayures")+SUMIFS('2-SESSIONS SCIAGE'!$F:$F,'2-SESSIONS SCIAGE'!$I:$I,$A19,'2-SESSIONS SCIAGE'!$J:$J,$B19,'2-SESSIONS SCIAGE'!$C:$C,$C19,'2-SESSIONS SCIAGE'!$G:$G,"deviation")</f>
        <v>206</v>
      </c>
      <c r="F19" s="13" t="str">
        <f>SUMIFS('2-SESSIONS SCIAGE'!$F:$F,'2-SESSIONS SCIAGE'!$I:$I,$A19,'2-SESSIONS SCIAGE'!$J:$J,$B19,'2-SESSIONS SCIAGE'!$C:$C,$C19,'2-SESSIONS SCIAGE'!$G:$G,"zéro")+SUMIFS('2-SESSIONS SCIAGE'!$F:$F,'2-SESSIONS SCIAGE'!$I:$I,$A19,'2-SESSIONS SCIAGE'!$J:$J,$B19,'2-SESSIONS SCIAGE'!$C:$C,$C19,'2-SESSIONS SCIAGE'!$G:$G,"panne mécanique")+SUMIFS('2-SESSIONS SCIAGE'!$F:$F,'2-SESSIONS SCIAGE'!$I:$I,$A19,'2-SESSIONS SCIAGE'!$J:$J,$B19,'2-SESSIONS SCIAGE'!$C:$C,$C19,'2-SESSIONS SCIAGE'!$G:$G,"panne électrique")</f>
        <v>0</v>
      </c>
      <c r="G19" s="13" t="str">
        <f>SUMIFS('3-CHANGEMENTS LAMES'!$F:$F,'3-CHANGEMENTS LAMES'!$H:$H,$A19,'3-CHANGEMENTS LAMES'!$I:$I,$B19,'3-CHANGEMENTS LAMES'!$C:$C,$C19)</f>
        <v>31</v>
      </c>
      <c r="H19" s="41" t="str">
        <f>SUMIFS('2-SESSIONS SCIAGE'!$H:$H,'2-SESSIONS SCIAGE'!$I:$I,$A19,'2-SESSIONS SCIAGE'!$J:$J,$B19,'2-SESSIONS SCIAGE'!$C:$C,$C19)</f>
        <v>10</v>
      </c>
      <c r="I19" s="41" t="str">
        <f t="shared" si="1"/>
        <v>41</v>
      </c>
      <c r="J19" s="41" t="str">
        <f t="shared" si="2"/>
        <v>534</v>
      </c>
    </row>
    <row r="20" ht="14.25" customHeight="1">
      <c r="A20" s="40">
        <v>46153.0</v>
      </c>
      <c r="B20" s="11" t="s">
        <v>106</v>
      </c>
      <c r="C20" s="11" t="s">
        <v>27</v>
      </c>
      <c r="D20" s="13" t="str">
        <f>SUMIFS('2-SESSIONS SCIAGE'!$F:$F,'2-SESSIONS SCIAGE'!$I:$I,$A20,'2-SESSIONS SCIAGE'!$J:$J,$B20,'2-SESSIONS SCIAGE'!$C:$C,$C20,'2-SESSIONS SCIAGE'!$G:$G,"ok")</f>
        <v>351</v>
      </c>
      <c r="E20" s="13" t="str">
        <f>SUMIFS('2-SESSIONS SCIAGE'!$F:$F,'2-SESSIONS SCIAGE'!$I:$I,$A20,'2-SESSIONS SCIAGE'!$J:$J,$B20,'2-SESSIONS SCIAGE'!$C:$C,$C20,'2-SESSIONS SCIAGE'!$G:$G,"sciage un côté")+SUMIFS('2-SESSIONS SCIAGE'!$F:$F,'2-SESSIONS SCIAGE'!$I:$I,$A20,'2-SESSIONS SCIAGE'!$J:$J,$B20,'2-SESSIONS SCIAGE'!$C:$C,$C20,'2-SESSIONS SCIAGE'!$G:$G,"mauvaise épaisseur")+SUMIFS('2-SESSIONS SCIAGE'!$F:$F,'2-SESSIONS SCIAGE'!$I:$I,$A20,'2-SESSIONS SCIAGE'!$J:$J,$B20,'2-SESSIONS SCIAGE'!$C:$C,$C20,'2-SESSIONS SCIAGE'!$G:$G,"rayures")+SUMIFS('2-SESSIONS SCIAGE'!$F:$F,'2-SESSIONS SCIAGE'!$I:$I,$A20,'2-SESSIONS SCIAGE'!$J:$J,$B20,'2-SESSIONS SCIAGE'!$C:$C,$C20,'2-SESSIONS SCIAGE'!$G:$G,"deviation")</f>
        <v>75</v>
      </c>
      <c r="F20" s="13" t="str">
        <f>SUMIFS('2-SESSIONS SCIAGE'!$F:$F,'2-SESSIONS SCIAGE'!$I:$I,$A20,'2-SESSIONS SCIAGE'!$J:$J,$B20,'2-SESSIONS SCIAGE'!$C:$C,$C20,'2-SESSIONS SCIAGE'!$G:$G,"zéro")+SUMIFS('2-SESSIONS SCIAGE'!$F:$F,'2-SESSIONS SCIAGE'!$I:$I,$A20,'2-SESSIONS SCIAGE'!$J:$J,$B20,'2-SESSIONS SCIAGE'!$C:$C,$C20,'2-SESSIONS SCIAGE'!$G:$G,"panne mécanique")+SUMIFS('2-SESSIONS SCIAGE'!$F:$F,'2-SESSIONS SCIAGE'!$I:$I,$A20,'2-SESSIONS SCIAGE'!$J:$J,$B20,'2-SESSIONS SCIAGE'!$C:$C,$C20,'2-SESSIONS SCIAGE'!$G:$G,"panne électrique")</f>
        <v>0</v>
      </c>
      <c r="G20" s="13" t="str">
        <f>SUMIFS('3-CHANGEMENTS LAMES'!$F:$F,'3-CHANGEMENTS LAMES'!$H:$H,$A20,'3-CHANGEMENTS LAMES'!$I:$I,$B20,'3-CHANGEMENTS LAMES'!$C:$C,$C20)</f>
        <v>45</v>
      </c>
      <c r="H20" s="13" t="str">
        <f>SUMIFS('2-SESSIONS SCIAGE'!$H:$H,'2-SESSIONS SCIAGE'!$I:$I,$A20,'2-SESSIONS SCIAGE'!$J:$J,$B20,'2-SESSIONS SCIAGE'!$C:$C,$C20)</f>
        <v>979</v>
      </c>
      <c r="I20" s="41" t="str">
        <f t="shared" si="1"/>
        <v>1024</v>
      </c>
      <c r="J20" s="41" t="str">
        <f t="shared" si="2"/>
        <v>1450</v>
      </c>
    </row>
    <row r="21" ht="15.0" customHeight="1">
      <c r="A21" s="42">
        <v>46153.0</v>
      </c>
      <c r="B21" s="11" t="s">
        <v>104</v>
      </c>
      <c r="C21" s="11" t="s">
        <v>27</v>
      </c>
      <c r="D21" s="13" t="str">
        <f>SUMIFS('2-SESSIONS SCIAGE'!$F:$F,'2-SESSIONS SCIAGE'!$I:$I,$A21,'2-SESSIONS SCIAGE'!$J:$J,$B21,'2-SESSIONS SCIAGE'!$C:$C,$C21,'2-SESSIONS SCIAGE'!$G:$G,"ok")</f>
        <v>428</v>
      </c>
      <c r="E21" s="13" t="str">
        <f>SUMIFS('2-SESSIONS SCIAGE'!$F:$F,'2-SESSIONS SCIAGE'!$I:$I,$A21,'2-SESSIONS SCIAGE'!$J:$J,$B21,'2-SESSIONS SCIAGE'!$C:$C,$C21,'2-SESSIONS SCIAGE'!$G:$G,"sciage un côté")+SUMIFS('2-SESSIONS SCIAGE'!$F:$F,'2-SESSIONS SCIAGE'!$I:$I,$A21,'2-SESSIONS SCIAGE'!$J:$J,$B21,'2-SESSIONS SCIAGE'!$C:$C,$C21,'2-SESSIONS SCIAGE'!$G:$G,"mauvaise épaisseur")+SUMIFS('2-SESSIONS SCIAGE'!$F:$F,'2-SESSIONS SCIAGE'!$I:$I,$A21,'2-SESSIONS SCIAGE'!$J:$J,$B21,'2-SESSIONS SCIAGE'!$C:$C,$C21,'2-SESSIONS SCIAGE'!$G:$G,"rayures")+SUMIFS('2-SESSIONS SCIAGE'!$F:$F,'2-SESSIONS SCIAGE'!$I:$I,$A21,'2-SESSIONS SCIAGE'!$J:$J,$B21,'2-SESSIONS SCIAGE'!$C:$C,$C21,'2-SESSIONS SCIAGE'!$G:$G,"deviation")</f>
        <v>0</v>
      </c>
      <c r="F21" s="13" t="str">
        <f>SUMIFS('2-SESSIONS SCIAGE'!$F:$F,'2-SESSIONS SCIAGE'!$I:$I,$A21,'2-SESSIONS SCIAGE'!$J:$J,$B21,'2-SESSIONS SCIAGE'!$C:$C,$C21,'2-SESSIONS SCIAGE'!$G:$G,"zéro")+SUMIFS('2-SESSIONS SCIAGE'!$F:$F,'2-SESSIONS SCIAGE'!$I:$I,$A21,'2-SESSIONS SCIAGE'!$J:$J,$B21,'2-SESSIONS SCIAGE'!$C:$C,$C21,'2-SESSIONS SCIAGE'!$G:$G,"panne mécanique")+SUMIFS('2-SESSIONS SCIAGE'!$F:$F,'2-SESSIONS SCIAGE'!$I:$I,$A21,'2-SESSIONS SCIAGE'!$J:$J,$B21,'2-SESSIONS SCIAGE'!$C:$C,$C21,'2-SESSIONS SCIAGE'!$G:$G,"panne électrique")</f>
        <v>0</v>
      </c>
      <c r="G21" s="13" t="str">
        <f>SUMIFS('3-CHANGEMENTS LAMES'!$F:$F,'3-CHANGEMENTS LAMES'!$H:$H,$A21,'3-CHANGEMENTS LAMES'!$I:$I,$B21,'3-CHANGEMENTS LAMES'!$C:$C,$C21)</f>
        <v>42</v>
      </c>
      <c r="H21" s="13" t="str">
        <f>SUMIFS('2-SESSIONS SCIAGE'!$H:$H,'2-SESSIONS SCIAGE'!$I:$I,$A21,'2-SESSIONS SCIAGE'!$J:$J,$B21,'2-SESSIONS SCIAGE'!$C:$C,$C21)</f>
        <v>15</v>
      </c>
      <c r="I21" s="41" t="str">
        <f t="shared" si="1"/>
        <v>57</v>
      </c>
      <c r="J21" s="41" t="str">
        <f t="shared" si="2"/>
        <v>485</v>
      </c>
    </row>
    <row r="22" ht="14.25" customHeight="1">
      <c r="A22" s="40">
        <v>46153.0</v>
      </c>
      <c r="B22" s="11" t="s">
        <v>105</v>
      </c>
      <c r="C22" s="11" t="s">
        <v>27</v>
      </c>
      <c r="D22" s="13" t="str">
        <f>SUMIFS('2-SESSIONS SCIAGE'!$F:$F,'2-SESSIONS SCIAGE'!$I:$I,$A22,'2-SESSIONS SCIAGE'!$J:$J,$B22,'2-SESSIONS SCIAGE'!$C:$C,$C22,'2-SESSIONS SCIAGE'!$G:$G,"ok")</f>
        <v>424</v>
      </c>
      <c r="E22" s="13" t="str">
        <f>SUMIFS('2-SESSIONS SCIAGE'!$F:$F,'2-SESSIONS SCIAGE'!$I:$I,$A22,'2-SESSIONS SCIAGE'!$J:$J,$B22,'2-SESSIONS SCIAGE'!$C:$C,$C22,'2-SESSIONS SCIAGE'!$G:$G,"sciage un côté")+SUMIFS('2-SESSIONS SCIAGE'!$F:$F,'2-SESSIONS SCIAGE'!$I:$I,$A22,'2-SESSIONS SCIAGE'!$J:$J,$B22,'2-SESSIONS SCIAGE'!$C:$C,$C22,'2-SESSIONS SCIAGE'!$G:$G,"mauvaise épaisseur")+SUMIFS('2-SESSIONS SCIAGE'!$F:$F,'2-SESSIONS SCIAGE'!$I:$I,$A22,'2-SESSIONS SCIAGE'!$J:$J,$B22,'2-SESSIONS SCIAGE'!$C:$C,$C22,'2-SESSIONS SCIAGE'!$G:$G,"rayures")+SUMIFS('2-SESSIONS SCIAGE'!$F:$F,'2-SESSIONS SCIAGE'!$I:$I,$A22,'2-SESSIONS SCIAGE'!$J:$J,$B22,'2-SESSIONS SCIAGE'!$C:$C,$C22,'2-SESSIONS SCIAGE'!$G:$G,"deviation")</f>
        <v>10</v>
      </c>
      <c r="F22" s="13" t="str">
        <f>SUMIFS('2-SESSIONS SCIAGE'!$F:$F,'2-SESSIONS SCIAGE'!$I:$I,$A22,'2-SESSIONS SCIAGE'!$J:$J,$B22,'2-SESSIONS SCIAGE'!$C:$C,$C22,'2-SESSIONS SCIAGE'!$G:$G,"zéro")+SUMIFS('2-SESSIONS SCIAGE'!$F:$F,'2-SESSIONS SCIAGE'!$I:$I,$A22,'2-SESSIONS SCIAGE'!$J:$J,$B22,'2-SESSIONS SCIAGE'!$C:$C,$C22,'2-SESSIONS SCIAGE'!$G:$G,"panne mécanique")+SUMIFS('2-SESSIONS SCIAGE'!$F:$F,'2-SESSIONS SCIAGE'!$I:$I,$A22,'2-SESSIONS SCIAGE'!$J:$J,$B22,'2-SESSIONS SCIAGE'!$C:$C,$C22,'2-SESSIONS SCIAGE'!$G:$G,"panne électrique")</f>
        <v>0</v>
      </c>
      <c r="G22" s="13" t="str">
        <f>SUMIFS('3-CHANGEMENTS LAMES'!$F:$F,'3-CHANGEMENTS LAMES'!$H:$H,$A22,'3-CHANGEMENTS LAMES'!$I:$I,$B22,'3-CHANGEMENTS LAMES'!$C:$C,$C22)</f>
        <v>35</v>
      </c>
      <c r="H22" s="13" t="str">
        <f>SUMIFS('2-SESSIONS SCIAGE'!$H:$H,'2-SESSIONS SCIAGE'!$I:$I,$A22,'2-SESSIONS SCIAGE'!$J:$J,$B22,'2-SESSIONS SCIAGE'!$C:$C,$C22)</f>
        <v>4</v>
      </c>
      <c r="I22" s="41" t="str">
        <f t="shared" si="1"/>
        <v>39</v>
      </c>
      <c r="J22" s="41" t="str">
        <f t="shared" si="2"/>
        <v>473</v>
      </c>
    </row>
    <row r="23" ht="14.25" customHeight="1">
      <c r="A23" s="40">
        <v>46154.0</v>
      </c>
      <c r="B23" s="11" t="s">
        <v>106</v>
      </c>
      <c r="C23" s="11" t="s">
        <v>27</v>
      </c>
      <c r="D23" s="13" t="str">
        <f>SUMIFS('2-SESSIONS SCIAGE'!$F:$F,'2-SESSIONS SCIAGE'!$I:$I,$A23,'2-SESSIONS SCIAGE'!$J:$J,$B23,'2-SESSIONS SCIAGE'!$C:$C,$C23,'2-SESSIONS SCIAGE'!$G:$G,"ok")</f>
        <v>332</v>
      </c>
      <c r="E23" s="13" t="str">
        <f>SUMIFS('2-SESSIONS SCIAGE'!$F:$F,'2-SESSIONS SCIAGE'!$I:$I,$A23,'2-SESSIONS SCIAGE'!$J:$J,$B23,'2-SESSIONS SCIAGE'!$C:$C,$C23,'2-SESSIONS SCIAGE'!$G:$G,"sciage un côté")+SUMIFS('2-SESSIONS SCIAGE'!$F:$F,'2-SESSIONS SCIAGE'!$I:$I,$A23,'2-SESSIONS SCIAGE'!$J:$J,$B23,'2-SESSIONS SCIAGE'!$C:$C,$C23,'2-SESSIONS SCIAGE'!$G:$G,"mauvaise épaisseur")+SUMIFS('2-SESSIONS SCIAGE'!$F:$F,'2-SESSIONS SCIAGE'!$I:$I,$A23,'2-SESSIONS SCIAGE'!$J:$J,$B23,'2-SESSIONS SCIAGE'!$C:$C,$C23,'2-SESSIONS SCIAGE'!$G:$G,"rayures")+SUMIFS('2-SESSIONS SCIAGE'!$F:$F,'2-SESSIONS SCIAGE'!$I:$I,$A23,'2-SESSIONS SCIAGE'!$J:$J,$B23,'2-SESSIONS SCIAGE'!$C:$C,$C23,'2-SESSIONS SCIAGE'!$G:$G,"deviation")</f>
        <v>0</v>
      </c>
      <c r="F23" s="13" t="str">
        <f>SUMIFS('2-SESSIONS SCIAGE'!$F:$F,'2-SESSIONS SCIAGE'!$I:$I,$A23,'2-SESSIONS SCIAGE'!$J:$J,$B23,'2-SESSIONS SCIAGE'!$C:$C,$C23,'2-SESSIONS SCIAGE'!$G:$G,"zéro")+SUMIFS('2-SESSIONS SCIAGE'!$F:$F,'2-SESSIONS SCIAGE'!$I:$I,$A23,'2-SESSIONS SCIAGE'!$J:$J,$B23,'2-SESSIONS SCIAGE'!$C:$C,$C23,'2-SESSIONS SCIAGE'!$G:$G,"panne mécanique")+SUMIFS('2-SESSIONS SCIAGE'!$F:$F,'2-SESSIONS SCIAGE'!$I:$I,$A23,'2-SESSIONS SCIAGE'!$J:$J,$B23,'2-SESSIONS SCIAGE'!$C:$C,$C23,'2-SESSIONS SCIAGE'!$G:$G,"panne électrique")</f>
        <v>115</v>
      </c>
      <c r="G23" s="13" t="str">
        <f>SUMIFS('3-CHANGEMENTS LAMES'!$F:$F,'3-CHANGEMENTS LAMES'!$H:$H,$A23,'3-CHANGEMENTS LAMES'!$I:$I,$B23,'3-CHANGEMENTS LAMES'!$C:$C,$C23)</f>
        <v>33</v>
      </c>
      <c r="H23" s="13" t="str">
        <f>SUMIFS('2-SESSIONS SCIAGE'!$H:$H,'2-SESSIONS SCIAGE'!$I:$I,$A23,'2-SESSIONS SCIAGE'!$J:$J,$B23,'2-SESSIONS SCIAGE'!$C:$C,$C23)</f>
        <v>0</v>
      </c>
      <c r="I23" s="41" t="str">
        <f t="shared" si="1"/>
        <v>148</v>
      </c>
      <c r="J23" s="41" t="str">
        <f t="shared" si="2"/>
        <v>480</v>
      </c>
    </row>
    <row r="24" ht="14.25" customHeight="1">
      <c r="A24" s="40">
        <v>46154.0</v>
      </c>
      <c r="B24" s="11" t="s">
        <v>104</v>
      </c>
      <c r="C24" s="11" t="s">
        <v>27</v>
      </c>
      <c r="D24" s="13" t="str">
        <f>SUMIFS('2-SESSIONS SCIAGE'!$F:$F,'2-SESSIONS SCIAGE'!$I:$I,$A24,'2-SESSIONS SCIAGE'!$J:$J,$B24,'2-SESSIONS SCIAGE'!$C:$C,$C24,'2-SESSIONS SCIAGE'!$G:$G,"ok")</f>
        <v>274</v>
      </c>
      <c r="E24" s="13" t="str">
        <f>SUMIFS('2-SESSIONS SCIAGE'!$F:$F,'2-SESSIONS SCIAGE'!$I:$I,$A24,'2-SESSIONS SCIAGE'!$J:$J,$B24,'2-SESSIONS SCIAGE'!$C:$C,$C24,'2-SESSIONS SCIAGE'!$G:$G,"sciage un côté")+SUMIFS('2-SESSIONS SCIAGE'!$F:$F,'2-SESSIONS SCIAGE'!$I:$I,$A24,'2-SESSIONS SCIAGE'!$J:$J,$B24,'2-SESSIONS SCIAGE'!$C:$C,$C24,'2-SESSIONS SCIAGE'!$G:$G,"mauvaise épaisseur")+SUMIFS('2-SESSIONS SCIAGE'!$F:$F,'2-SESSIONS SCIAGE'!$I:$I,$A24,'2-SESSIONS SCIAGE'!$J:$J,$B24,'2-SESSIONS SCIAGE'!$C:$C,$C24,'2-SESSIONS SCIAGE'!$G:$G,"rayures")+SUMIFS('2-SESSIONS SCIAGE'!$F:$F,'2-SESSIONS SCIAGE'!$I:$I,$A24,'2-SESSIONS SCIAGE'!$J:$J,$B24,'2-SESSIONS SCIAGE'!$C:$C,$C24,'2-SESSIONS SCIAGE'!$G:$G,"deviation")</f>
        <v>125</v>
      </c>
      <c r="F24" s="13" t="str">
        <f>SUMIFS('2-SESSIONS SCIAGE'!$F:$F,'2-SESSIONS SCIAGE'!$I:$I,$A24,'2-SESSIONS SCIAGE'!$J:$J,$B24,'2-SESSIONS SCIAGE'!$C:$C,$C24,'2-SESSIONS SCIAGE'!$G:$G,"zéro")+SUMIFS('2-SESSIONS SCIAGE'!$F:$F,'2-SESSIONS SCIAGE'!$I:$I,$A24,'2-SESSIONS SCIAGE'!$J:$J,$B24,'2-SESSIONS SCIAGE'!$C:$C,$C24,'2-SESSIONS SCIAGE'!$G:$G,"panne mécanique")+SUMIFS('2-SESSIONS SCIAGE'!$F:$F,'2-SESSIONS SCIAGE'!$I:$I,$A24,'2-SESSIONS SCIAGE'!$J:$J,$B24,'2-SESSIONS SCIAGE'!$C:$C,$C24,'2-SESSIONS SCIAGE'!$G:$G,"panne électrique")</f>
        <v>0</v>
      </c>
      <c r="G24" s="13" t="str">
        <f>SUMIFS('3-CHANGEMENTS LAMES'!$F:$F,'3-CHANGEMENTS LAMES'!$H:$H,$A24,'3-CHANGEMENTS LAMES'!$I:$I,$B24,'3-CHANGEMENTS LAMES'!$C:$C,$C24)</f>
        <v>90</v>
      </c>
      <c r="H24" s="13" t="str">
        <f>SUMIFS('2-SESSIONS SCIAGE'!$H:$H,'2-SESSIONS SCIAGE'!$I:$I,$A24,'2-SESSIONS SCIAGE'!$J:$J,$B24,'2-SESSIONS SCIAGE'!$C:$C,$C24)</f>
        <v>5</v>
      </c>
      <c r="I24" s="41" t="str">
        <f t="shared" si="1"/>
        <v>95</v>
      </c>
      <c r="J24" s="41" t="str">
        <f t="shared" si="2"/>
        <v>494</v>
      </c>
    </row>
    <row r="25" ht="14.25" customHeight="1">
      <c r="A25" s="40">
        <v>46154.0</v>
      </c>
      <c r="B25" s="11" t="s">
        <v>105</v>
      </c>
      <c r="C25" s="11" t="s">
        <v>27</v>
      </c>
      <c r="D25" s="13" t="str">
        <f>SUMIFS('2-SESSIONS SCIAGE'!$F:$F,'2-SESSIONS SCIAGE'!$I:$I,$A25,'2-SESSIONS SCIAGE'!$J:$J,$B25,'2-SESSIONS SCIAGE'!$C:$C,$C25,'2-SESSIONS SCIAGE'!$G:$G,"ok")</f>
        <v>285</v>
      </c>
      <c r="E25" s="13" t="str">
        <f>SUMIFS('2-SESSIONS SCIAGE'!$F:$F,'2-SESSIONS SCIAGE'!$I:$I,$A25,'2-SESSIONS SCIAGE'!$J:$J,$B25,'2-SESSIONS SCIAGE'!$C:$C,$C25,'2-SESSIONS SCIAGE'!$G:$G,"sciage un côté")+SUMIFS('2-SESSIONS SCIAGE'!$F:$F,'2-SESSIONS SCIAGE'!$I:$I,$A25,'2-SESSIONS SCIAGE'!$J:$J,$B25,'2-SESSIONS SCIAGE'!$C:$C,$C25,'2-SESSIONS SCIAGE'!$G:$G,"mauvaise épaisseur")+SUMIFS('2-SESSIONS SCIAGE'!$F:$F,'2-SESSIONS SCIAGE'!$I:$I,$A25,'2-SESSIONS SCIAGE'!$J:$J,$B25,'2-SESSIONS SCIAGE'!$C:$C,$C25,'2-SESSIONS SCIAGE'!$G:$G,"rayures")+SUMIFS('2-SESSIONS SCIAGE'!$F:$F,'2-SESSIONS SCIAGE'!$I:$I,$A25,'2-SESSIONS SCIAGE'!$J:$J,$B25,'2-SESSIONS SCIAGE'!$C:$C,$C25,'2-SESSIONS SCIAGE'!$G:$G,"deviation")</f>
        <v>130</v>
      </c>
      <c r="F25" s="13" t="str">
        <f>SUMIFS('2-SESSIONS SCIAGE'!$F:$F,'2-SESSIONS SCIAGE'!$I:$I,$A25,'2-SESSIONS SCIAGE'!$J:$J,$B25,'2-SESSIONS SCIAGE'!$C:$C,$C25,'2-SESSIONS SCIAGE'!$G:$G,"zéro")+SUMIFS('2-SESSIONS SCIAGE'!$F:$F,'2-SESSIONS SCIAGE'!$I:$I,$A25,'2-SESSIONS SCIAGE'!$J:$J,$B25,'2-SESSIONS SCIAGE'!$C:$C,$C25,'2-SESSIONS SCIAGE'!$G:$G,"panne mécanique")+SUMIFS('2-SESSIONS SCIAGE'!$F:$F,'2-SESSIONS SCIAGE'!$I:$I,$A25,'2-SESSIONS SCIAGE'!$J:$J,$B25,'2-SESSIONS SCIAGE'!$C:$C,$C25,'2-SESSIONS SCIAGE'!$G:$G,"panne électrique")</f>
        <v>0</v>
      </c>
      <c r="G25" s="13" t="str">
        <f>SUMIFS('3-CHANGEMENTS LAMES'!$F:$F,'3-CHANGEMENTS LAMES'!$H:$H,$A25,'3-CHANGEMENTS LAMES'!$I:$I,$B25,'3-CHANGEMENTS LAMES'!$C:$C,$C25)</f>
        <v>46</v>
      </c>
      <c r="H25" s="13" t="str">
        <f>SUMIFS('2-SESSIONS SCIAGE'!$H:$H,'2-SESSIONS SCIAGE'!$I:$I,$A25,'2-SESSIONS SCIAGE'!$J:$J,$B25,'2-SESSIONS SCIAGE'!$C:$C,$C25)</f>
        <v>19</v>
      </c>
      <c r="I25" s="41" t="str">
        <f t="shared" si="1"/>
        <v>65</v>
      </c>
      <c r="J25" s="41" t="str">
        <f t="shared" si="2"/>
        <v>480</v>
      </c>
    </row>
    <row r="26" ht="14.25" customHeight="1">
      <c r="A26" s="40">
        <v>46155.0</v>
      </c>
      <c r="B26" s="11" t="s">
        <v>106</v>
      </c>
      <c r="C26" s="11" t="s">
        <v>27</v>
      </c>
      <c r="D26" s="13" t="str">
        <f>SUMIFS('2-SESSIONS SCIAGE'!$F:$F,'2-SESSIONS SCIAGE'!$I:$I,$A26,'2-SESSIONS SCIAGE'!$J:$J,$B26,'2-SESSIONS SCIAGE'!$C:$C,$C26,'2-SESSIONS SCIAGE'!$G:$G,"ok")</f>
        <v>443</v>
      </c>
      <c r="E26" s="13" t="str">
        <f>SUMIFS('2-SESSIONS SCIAGE'!$F:$F,'2-SESSIONS SCIAGE'!$I:$I,$A26,'2-SESSIONS SCIAGE'!$J:$J,$B26,'2-SESSIONS SCIAGE'!$C:$C,$C26,'2-SESSIONS SCIAGE'!$G:$G,"sciage un côté")+SUMIFS('2-SESSIONS SCIAGE'!$F:$F,'2-SESSIONS SCIAGE'!$I:$I,$A26,'2-SESSIONS SCIAGE'!$J:$J,$B26,'2-SESSIONS SCIAGE'!$C:$C,$C26,'2-SESSIONS SCIAGE'!$G:$G,"mauvaise épaisseur")+SUMIFS('2-SESSIONS SCIAGE'!$F:$F,'2-SESSIONS SCIAGE'!$I:$I,$A26,'2-SESSIONS SCIAGE'!$J:$J,$B26,'2-SESSIONS SCIAGE'!$C:$C,$C26,'2-SESSIONS SCIAGE'!$G:$G,"rayures")+SUMIFS('2-SESSIONS SCIAGE'!$F:$F,'2-SESSIONS SCIAGE'!$I:$I,$A26,'2-SESSIONS SCIAGE'!$J:$J,$B26,'2-SESSIONS SCIAGE'!$C:$C,$C26,'2-SESSIONS SCIAGE'!$G:$G,"deviation")</f>
        <v>0</v>
      </c>
      <c r="F26" s="13" t="str">
        <f>SUMIFS('2-SESSIONS SCIAGE'!$F:$F,'2-SESSIONS SCIAGE'!$I:$I,$A26,'2-SESSIONS SCIAGE'!$J:$J,$B26,'2-SESSIONS SCIAGE'!$C:$C,$C26,'2-SESSIONS SCIAGE'!$G:$G,"zéro")+SUMIFS('2-SESSIONS SCIAGE'!$F:$F,'2-SESSIONS SCIAGE'!$I:$I,$A26,'2-SESSIONS SCIAGE'!$J:$J,$B26,'2-SESSIONS SCIAGE'!$C:$C,$C26,'2-SESSIONS SCIAGE'!$G:$G,"panne mécanique")+SUMIFS('2-SESSIONS SCIAGE'!$F:$F,'2-SESSIONS SCIAGE'!$I:$I,$A26,'2-SESSIONS SCIAGE'!$J:$J,$B26,'2-SESSIONS SCIAGE'!$C:$C,$C26,'2-SESSIONS SCIAGE'!$G:$G,"panne électrique")</f>
        <v>0</v>
      </c>
      <c r="G26" s="13" t="str">
        <f>SUMIFS('3-CHANGEMENTS LAMES'!$F:$F,'3-CHANGEMENTS LAMES'!$H:$H,$A26,'3-CHANGEMENTS LAMES'!$I:$I,$B26,'3-CHANGEMENTS LAMES'!$C:$C,$C26)</f>
        <v>37</v>
      </c>
      <c r="H26" s="13" t="str">
        <f>SUMIFS('2-SESSIONS SCIAGE'!$H:$H,'2-SESSIONS SCIAGE'!$I:$I,$A26,'2-SESSIONS SCIAGE'!$J:$J,$B26,'2-SESSIONS SCIAGE'!$C:$C,$C26)</f>
        <v>5</v>
      </c>
      <c r="I26" s="41" t="str">
        <f t="shared" si="1"/>
        <v>42</v>
      </c>
      <c r="J26" s="41" t="str">
        <f t="shared" si="2"/>
        <v>485</v>
      </c>
    </row>
    <row r="27" ht="14.25" customHeight="1">
      <c r="A27" s="40">
        <v>46155.0</v>
      </c>
      <c r="B27" s="11" t="s">
        <v>104</v>
      </c>
      <c r="C27" s="11" t="s">
        <v>27</v>
      </c>
      <c r="D27" s="13" t="str">
        <f>SUMIFS('2-SESSIONS SCIAGE'!$F:$F,'2-SESSIONS SCIAGE'!$I:$I,$A27,'2-SESSIONS SCIAGE'!$J:$J,$B27,'2-SESSIONS SCIAGE'!$C:$C,$C27,'2-SESSIONS SCIAGE'!$G:$G,"ok")</f>
        <v>452</v>
      </c>
      <c r="E27" s="13" t="str">
        <f>SUMIFS('2-SESSIONS SCIAGE'!$F:$F,'2-SESSIONS SCIAGE'!$I:$I,$A27,'2-SESSIONS SCIAGE'!$J:$J,$B27,'2-SESSIONS SCIAGE'!$C:$C,$C27,'2-SESSIONS SCIAGE'!$G:$G,"sciage un côté")+SUMIFS('2-SESSIONS SCIAGE'!$F:$F,'2-SESSIONS SCIAGE'!$I:$I,$A27,'2-SESSIONS SCIAGE'!$J:$J,$B27,'2-SESSIONS SCIAGE'!$C:$C,$C27,'2-SESSIONS SCIAGE'!$G:$G,"mauvaise épaisseur")+SUMIFS('2-SESSIONS SCIAGE'!$F:$F,'2-SESSIONS SCIAGE'!$I:$I,$A27,'2-SESSIONS SCIAGE'!$J:$J,$B27,'2-SESSIONS SCIAGE'!$C:$C,$C27,'2-SESSIONS SCIAGE'!$G:$G,"rayures")+SUMIFS('2-SESSIONS SCIAGE'!$F:$F,'2-SESSIONS SCIAGE'!$I:$I,$A27,'2-SESSIONS SCIAGE'!$J:$J,$B27,'2-SESSIONS SCIAGE'!$C:$C,$C27,'2-SESSIONS SCIAGE'!$G:$G,"deviation")</f>
        <v>0</v>
      </c>
      <c r="F27" s="13" t="str">
        <f>SUMIFS('2-SESSIONS SCIAGE'!$F:$F,'2-SESSIONS SCIAGE'!$I:$I,$A27,'2-SESSIONS SCIAGE'!$J:$J,$B27,'2-SESSIONS SCIAGE'!$C:$C,$C27,'2-SESSIONS SCIAGE'!$G:$G,"zéro")+SUMIFS('2-SESSIONS SCIAGE'!$F:$F,'2-SESSIONS SCIAGE'!$I:$I,$A27,'2-SESSIONS SCIAGE'!$J:$J,$B27,'2-SESSIONS SCIAGE'!$C:$C,$C27,'2-SESSIONS SCIAGE'!$G:$G,"panne mécanique")+SUMIFS('2-SESSIONS SCIAGE'!$F:$F,'2-SESSIONS SCIAGE'!$I:$I,$A27,'2-SESSIONS SCIAGE'!$J:$J,$B27,'2-SESSIONS SCIAGE'!$C:$C,$C27,'2-SESSIONS SCIAGE'!$G:$G,"panne électrique")</f>
        <v>0</v>
      </c>
      <c r="G27" s="13" t="str">
        <f>SUMIFS('3-CHANGEMENTS LAMES'!$F:$F,'3-CHANGEMENTS LAMES'!$H:$H,$A27,'3-CHANGEMENTS LAMES'!$I:$I,$B27,'3-CHANGEMENTS LAMES'!$C:$C,$C27)</f>
        <v>28</v>
      </c>
      <c r="H27" s="13" t="str">
        <f>SUMIFS('2-SESSIONS SCIAGE'!$H:$H,'2-SESSIONS SCIAGE'!$I:$I,$A27,'2-SESSIONS SCIAGE'!$J:$J,$B27,'2-SESSIONS SCIAGE'!$C:$C,$C27)</f>
        <v>5</v>
      </c>
      <c r="I27" s="41" t="str">
        <f t="shared" si="1"/>
        <v>33</v>
      </c>
      <c r="J27" s="41" t="str">
        <f t="shared" si="2"/>
        <v>485</v>
      </c>
    </row>
    <row r="28" ht="14.25" customHeight="1">
      <c r="A28" s="40">
        <v>46155.0</v>
      </c>
      <c r="B28" s="11" t="s">
        <v>105</v>
      </c>
      <c r="C28" s="11" t="s">
        <v>27</v>
      </c>
      <c r="D28" s="13" t="str">
        <f>SUMIFS('2-SESSIONS SCIAGE'!$F:$F,'2-SESSIONS SCIAGE'!$I:$I,$A28,'2-SESSIONS SCIAGE'!$J:$J,$B28,'2-SESSIONS SCIAGE'!$C:$C,$C28,'2-SESSIONS SCIAGE'!$G:$G,"ok")</f>
        <v>357</v>
      </c>
      <c r="E28" s="13" t="str">
        <f>SUMIFS('2-SESSIONS SCIAGE'!$F:$F,'2-SESSIONS SCIAGE'!$I:$I,$A28,'2-SESSIONS SCIAGE'!$J:$J,$B28,'2-SESSIONS SCIAGE'!$C:$C,$C28,'2-SESSIONS SCIAGE'!$G:$G,"sciage un côté")+SUMIFS('2-SESSIONS SCIAGE'!$F:$F,'2-SESSIONS SCIAGE'!$I:$I,$A28,'2-SESSIONS SCIAGE'!$J:$J,$B28,'2-SESSIONS SCIAGE'!$C:$C,$C28,'2-SESSIONS SCIAGE'!$G:$G,"mauvaise épaisseur")+SUMIFS('2-SESSIONS SCIAGE'!$F:$F,'2-SESSIONS SCIAGE'!$I:$I,$A28,'2-SESSIONS SCIAGE'!$J:$J,$B28,'2-SESSIONS SCIAGE'!$C:$C,$C28,'2-SESSIONS SCIAGE'!$G:$G,"rayures")+SUMIFS('2-SESSIONS SCIAGE'!$F:$F,'2-SESSIONS SCIAGE'!$I:$I,$A28,'2-SESSIONS SCIAGE'!$J:$J,$B28,'2-SESSIONS SCIAGE'!$C:$C,$C28,'2-SESSIONS SCIAGE'!$G:$G,"deviation")</f>
        <v>72</v>
      </c>
      <c r="F28" s="13" t="str">
        <f>SUMIFS('2-SESSIONS SCIAGE'!$F:$F,'2-SESSIONS SCIAGE'!$I:$I,$A28,'2-SESSIONS SCIAGE'!$J:$J,$B28,'2-SESSIONS SCIAGE'!$C:$C,$C28,'2-SESSIONS SCIAGE'!$G:$G,"zéro")+SUMIFS('2-SESSIONS SCIAGE'!$F:$F,'2-SESSIONS SCIAGE'!$I:$I,$A28,'2-SESSIONS SCIAGE'!$J:$J,$B28,'2-SESSIONS SCIAGE'!$C:$C,$C28,'2-SESSIONS SCIAGE'!$G:$G,"panne mécanique")+SUMIFS('2-SESSIONS SCIAGE'!$F:$F,'2-SESSIONS SCIAGE'!$I:$I,$A28,'2-SESSIONS SCIAGE'!$J:$J,$B28,'2-SESSIONS SCIAGE'!$C:$C,$C28,'2-SESSIONS SCIAGE'!$G:$G,"panne électrique")</f>
        <v>0</v>
      </c>
      <c r="G28" s="13" t="str">
        <f>SUMIFS('3-CHANGEMENTS LAMES'!$F:$F,'3-CHANGEMENTS LAMES'!$H:$H,$A28,'3-CHANGEMENTS LAMES'!$I:$I,$B28,'3-CHANGEMENTS LAMES'!$C:$C,$C28)</f>
        <v>35</v>
      </c>
      <c r="H28" s="13" t="str">
        <f>SUMIFS('2-SESSIONS SCIAGE'!$H:$H,'2-SESSIONS SCIAGE'!$I:$I,$A28,'2-SESSIONS SCIAGE'!$J:$J,$B28,'2-SESSIONS SCIAGE'!$C:$C,$C28)</f>
        <v>5</v>
      </c>
      <c r="I28" s="41" t="str">
        <f t="shared" si="1"/>
        <v>40</v>
      </c>
      <c r="J28" s="41" t="str">
        <f t="shared" si="2"/>
        <v>469</v>
      </c>
    </row>
    <row r="29" ht="14.25" customHeight="1">
      <c r="A29" s="40">
        <v>46156.0</v>
      </c>
      <c r="B29" s="11" t="s">
        <v>106</v>
      </c>
      <c r="C29" s="11" t="s">
        <v>27</v>
      </c>
      <c r="D29" s="13" t="str">
        <f>SUMIFS('2-SESSIONS SCIAGE'!$F:$F,'2-SESSIONS SCIAGE'!$I:$I,$A29,'2-SESSIONS SCIAGE'!$J:$J,$B29,'2-SESSIONS SCIAGE'!$C:$C,$C29,'2-SESSIONS SCIAGE'!$G:$G,"ok")</f>
        <v>312</v>
      </c>
      <c r="E29" s="13" t="str">
        <f>SUMIFS('2-SESSIONS SCIAGE'!$F:$F,'2-SESSIONS SCIAGE'!$I:$I,$A29,'2-SESSIONS SCIAGE'!$J:$J,$B29,'2-SESSIONS SCIAGE'!$C:$C,$C29,'2-SESSIONS SCIAGE'!$G:$G,"sciage un côté")+SUMIFS('2-SESSIONS SCIAGE'!$F:$F,'2-SESSIONS SCIAGE'!$I:$I,$A29,'2-SESSIONS SCIAGE'!$J:$J,$B29,'2-SESSIONS SCIAGE'!$C:$C,$C29,'2-SESSIONS SCIAGE'!$G:$G,"mauvaise épaisseur")+SUMIFS('2-SESSIONS SCIAGE'!$F:$F,'2-SESSIONS SCIAGE'!$I:$I,$A29,'2-SESSIONS SCIAGE'!$J:$J,$B29,'2-SESSIONS SCIAGE'!$C:$C,$C29,'2-SESSIONS SCIAGE'!$G:$G,"rayures")+SUMIFS('2-SESSIONS SCIAGE'!$F:$F,'2-SESSIONS SCIAGE'!$I:$I,$A29,'2-SESSIONS SCIAGE'!$J:$J,$B29,'2-SESSIONS SCIAGE'!$C:$C,$C29,'2-SESSIONS SCIAGE'!$G:$G,"deviation")</f>
        <v>0</v>
      </c>
      <c r="F29" s="13" t="str">
        <f>SUMIFS('2-SESSIONS SCIAGE'!$F:$F,'2-SESSIONS SCIAGE'!$I:$I,$A29,'2-SESSIONS SCIAGE'!$J:$J,$B29,'2-SESSIONS SCIAGE'!$C:$C,$C29,'2-SESSIONS SCIAGE'!$G:$G,"zéro")+SUMIFS('2-SESSIONS SCIAGE'!$F:$F,'2-SESSIONS SCIAGE'!$I:$I,$A29,'2-SESSIONS SCIAGE'!$J:$J,$B29,'2-SESSIONS SCIAGE'!$C:$C,$C29,'2-SESSIONS SCIAGE'!$G:$G,"panne mécanique")+SUMIFS('2-SESSIONS SCIAGE'!$F:$F,'2-SESSIONS SCIAGE'!$I:$I,$A29,'2-SESSIONS SCIAGE'!$J:$J,$B29,'2-SESSIONS SCIAGE'!$C:$C,$C29,'2-SESSIONS SCIAGE'!$G:$G,"panne électrique")</f>
        <v>129</v>
      </c>
      <c r="G29" s="13" t="str">
        <f>SUMIFS('3-CHANGEMENTS LAMES'!$F:$F,'3-CHANGEMENTS LAMES'!$H:$H,$A29,'3-CHANGEMENTS LAMES'!$I:$I,$B29,'3-CHANGEMENTS LAMES'!$C:$C,$C29)</f>
        <v>39</v>
      </c>
      <c r="H29" s="13" t="str">
        <f>SUMIFS('2-SESSIONS SCIAGE'!$H:$H,'2-SESSIONS SCIAGE'!$I:$I,$A29,'2-SESSIONS SCIAGE'!$J:$J,$B29,'2-SESSIONS SCIAGE'!$C:$C,$C29)</f>
        <v>5</v>
      </c>
      <c r="I29" s="41" t="str">
        <f t="shared" si="1"/>
        <v>173</v>
      </c>
      <c r="J29" s="41" t="str">
        <f t="shared" si="2"/>
        <v>485</v>
      </c>
    </row>
    <row r="30" ht="14.25" customHeight="1">
      <c r="A30" s="40">
        <v>46156.0</v>
      </c>
      <c r="B30" s="11" t="s">
        <v>104</v>
      </c>
      <c r="C30" s="11" t="s">
        <v>27</v>
      </c>
      <c r="D30" s="13" t="str">
        <f>SUMIFS('2-SESSIONS SCIAGE'!$F:$F,'2-SESSIONS SCIAGE'!$I:$I,$A30,'2-SESSIONS SCIAGE'!$J:$J,$B30,'2-SESSIONS SCIAGE'!$C:$C,$C30,'2-SESSIONS SCIAGE'!$G:$G,"ok")</f>
        <v>310</v>
      </c>
      <c r="E30" s="13" t="str">
        <f>SUMIFS('2-SESSIONS SCIAGE'!$F:$F,'2-SESSIONS SCIAGE'!$I:$I,$A30,'2-SESSIONS SCIAGE'!$J:$J,$B30,'2-SESSIONS SCIAGE'!$C:$C,$C30,'2-SESSIONS SCIAGE'!$G:$G,"sciage un côté")+SUMIFS('2-SESSIONS SCIAGE'!$F:$F,'2-SESSIONS SCIAGE'!$I:$I,$A30,'2-SESSIONS SCIAGE'!$J:$J,$B30,'2-SESSIONS SCIAGE'!$C:$C,$C30,'2-SESSIONS SCIAGE'!$G:$G,"mauvaise épaisseur")+SUMIFS('2-SESSIONS SCIAGE'!$F:$F,'2-SESSIONS SCIAGE'!$I:$I,$A30,'2-SESSIONS SCIAGE'!$J:$J,$B30,'2-SESSIONS SCIAGE'!$C:$C,$C30,'2-SESSIONS SCIAGE'!$G:$G,"rayures")+SUMIFS('2-SESSIONS SCIAGE'!$F:$F,'2-SESSIONS SCIAGE'!$I:$I,$A30,'2-SESSIONS SCIAGE'!$J:$J,$B30,'2-SESSIONS SCIAGE'!$C:$C,$C30,'2-SESSIONS SCIAGE'!$G:$G,"deviation")</f>
        <v>131</v>
      </c>
      <c r="F30" s="13" t="str">
        <f>SUMIFS('2-SESSIONS SCIAGE'!$F:$F,'2-SESSIONS SCIAGE'!$I:$I,$A30,'2-SESSIONS SCIAGE'!$J:$J,$B30,'2-SESSIONS SCIAGE'!$C:$C,$C30,'2-SESSIONS SCIAGE'!$G:$G,"zéro")+SUMIFS('2-SESSIONS SCIAGE'!$F:$F,'2-SESSIONS SCIAGE'!$I:$I,$A30,'2-SESSIONS SCIAGE'!$J:$J,$B30,'2-SESSIONS SCIAGE'!$C:$C,$C30,'2-SESSIONS SCIAGE'!$G:$G,"panne mécanique")+SUMIFS('2-SESSIONS SCIAGE'!$F:$F,'2-SESSIONS SCIAGE'!$I:$I,$A30,'2-SESSIONS SCIAGE'!$J:$J,$B30,'2-SESSIONS SCIAGE'!$C:$C,$C30,'2-SESSIONS SCIAGE'!$G:$G,"panne électrique")</f>
        <v>0</v>
      </c>
      <c r="G30" s="13" t="str">
        <f>SUMIFS('3-CHANGEMENTS LAMES'!$F:$F,'3-CHANGEMENTS LAMES'!$H:$H,$A30,'3-CHANGEMENTS LAMES'!$I:$I,$B30,'3-CHANGEMENTS LAMES'!$C:$C,$C30)</f>
        <v>45</v>
      </c>
      <c r="H30" s="13" t="str">
        <f>SUMIFS('2-SESSIONS SCIAGE'!$H:$H,'2-SESSIONS SCIAGE'!$I:$I,$A30,'2-SESSIONS SCIAGE'!$J:$J,$B30,'2-SESSIONS SCIAGE'!$C:$C,$C30)</f>
        <v>0</v>
      </c>
      <c r="I30" s="41" t="str">
        <f t="shared" si="1"/>
        <v>45</v>
      </c>
      <c r="J30" s="41" t="str">
        <f t="shared" si="2"/>
        <v>486</v>
      </c>
    </row>
    <row r="31" ht="14.25" customHeight="1">
      <c r="A31" s="40">
        <v>46156.0</v>
      </c>
      <c r="B31" s="11" t="s">
        <v>105</v>
      </c>
      <c r="C31" s="11" t="s">
        <v>27</v>
      </c>
      <c r="D31" s="13" t="str">
        <f>SUMIFS('2-SESSIONS SCIAGE'!$F:$F,'2-SESSIONS SCIAGE'!$I:$I,$A31,'2-SESSIONS SCIAGE'!$J:$J,$B31,'2-SESSIONS SCIAGE'!$C:$C,$C31,'2-SESSIONS SCIAGE'!$G:$G,"ok")</f>
        <v>438</v>
      </c>
      <c r="E31" s="13" t="str">
        <f>SUMIFS('2-SESSIONS SCIAGE'!$F:$F,'2-SESSIONS SCIAGE'!$I:$I,$A31,'2-SESSIONS SCIAGE'!$J:$J,$B31,'2-SESSIONS SCIAGE'!$C:$C,$C31,'2-SESSIONS SCIAGE'!$G:$G,"sciage un côté")+SUMIFS('2-SESSIONS SCIAGE'!$F:$F,'2-SESSIONS SCIAGE'!$I:$I,$A31,'2-SESSIONS SCIAGE'!$J:$J,$B31,'2-SESSIONS SCIAGE'!$C:$C,$C31,'2-SESSIONS SCIAGE'!$G:$G,"mauvaise épaisseur")+SUMIFS('2-SESSIONS SCIAGE'!$F:$F,'2-SESSIONS SCIAGE'!$I:$I,$A31,'2-SESSIONS SCIAGE'!$J:$J,$B31,'2-SESSIONS SCIAGE'!$C:$C,$C31,'2-SESSIONS SCIAGE'!$G:$G,"rayures")+SUMIFS('2-SESSIONS SCIAGE'!$F:$F,'2-SESSIONS SCIAGE'!$I:$I,$A31,'2-SESSIONS SCIAGE'!$J:$J,$B31,'2-SESSIONS SCIAGE'!$C:$C,$C31,'2-SESSIONS SCIAGE'!$G:$G,"deviation")</f>
        <v>0</v>
      </c>
      <c r="F31" s="13" t="str">
        <f>SUMIFS('2-SESSIONS SCIAGE'!$F:$F,'2-SESSIONS SCIAGE'!$I:$I,$A31,'2-SESSIONS SCIAGE'!$J:$J,$B31,'2-SESSIONS SCIAGE'!$C:$C,$C31,'2-SESSIONS SCIAGE'!$G:$G,"zéro")+SUMIFS('2-SESSIONS SCIAGE'!$F:$F,'2-SESSIONS SCIAGE'!$I:$I,$A31,'2-SESSIONS SCIAGE'!$J:$J,$B31,'2-SESSIONS SCIAGE'!$C:$C,$C31,'2-SESSIONS SCIAGE'!$G:$G,"panne mécanique")+SUMIFS('2-SESSIONS SCIAGE'!$F:$F,'2-SESSIONS SCIAGE'!$I:$I,$A31,'2-SESSIONS SCIAGE'!$J:$J,$B31,'2-SESSIONS SCIAGE'!$C:$C,$C31,'2-SESSIONS SCIAGE'!$G:$G,"panne électrique")</f>
        <v>0</v>
      </c>
      <c r="G31" s="13" t="str">
        <f>SUMIFS('3-CHANGEMENTS LAMES'!$F:$F,'3-CHANGEMENTS LAMES'!$H:$H,$A31,'3-CHANGEMENTS LAMES'!$I:$I,$B31,'3-CHANGEMENTS LAMES'!$C:$C,$C31)</f>
        <v>23</v>
      </c>
      <c r="H31" s="13" t="str">
        <f>SUMIFS('2-SESSIONS SCIAGE'!$H:$H,'2-SESSIONS SCIAGE'!$I:$I,$A31,'2-SESSIONS SCIAGE'!$J:$J,$B31,'2-SESSIONS SCIAGE'!$C:$C,$C31)</f>
        <v>16</v>
      </c>
      <c r="I31" s="41" t="str">
        <f t="shared" si="1"/>
        <v>39</v>
      </c>
      <c r="J31" s="41" t="str">
        <f t="shared" si="2"/>
        <v>477</v>
      </c>
    </row>
    <row r="32" ht="14.25" customHeight="1">
      <c r="A32" s="40">
        <v>46157.0</v>
      </c>
      <c r="B32" s="11" t="s">
        <v>106</v>
      </c>
      <c r="C32" s="11" t="s">
        <v>27</v>
      </c>
      <c r="D32" s="13" t="str">
        <f>SUMIFS('2-SESSIONS SCIAGE'!$F:$F,'2-SESSIONS SCIAGE'!$I:$I,$A32,'2-SESSIONS SCIAGE'!$J:$J,$B32,'2-SESSIONS SCIAGE'!$C:$C,$C32,'2-SESSIONS SCIAGE'!$G:$G,"ok")</f>
        <v>432</v>
      </c>
      <c r="E32" s="13" t="str">
        <f>SUMIFS('2-SESSIONS SCIAGE'!$F:$F,'2-SESSIONS SCIAGE'!$I:$I,$A32,'2-SESSIONS SCIAGE'!$J:$J,$B32,'2-SESSIONS SCIAGE'!$C:$C,$C32,'2-SESSIONS SCIAGE'!$G:$G,"sciage un côté")+SUMIFS('2-SESSIONS SCIAGE'!$F:$F,'2-SESSIONS SCIAGE'!$I:$I,$A32,'2-SESSIONS SCIAGE'!$J:$J,$B32,'2-SESSIONS SCIAGE'!$C:$C,$C32,'2-SESSIONS SCIAGE'!$G:$G,"mauvaise épaisseur")+SUMIFS('2-SESSIONS SCIAGE'!$F:$F,'2-SESSIONS SCIAGE'!$I:$I,$A32,'2-SESSIONS SCIAGE'!$J:$J,$B32,'2-SESSIONS SCIAGE'!$C:$C,$C32,'2-SESSIONS SCIAGE'!$G:$G,"rayures")+SUMIFS('2-SESSIONS SCIAGE'!$F:$F,'2-SESSIONS SCIAGE'!$I:$I,$A32,'2-SESSIONS SCIAGE'!$J:$J,$B32,'2-SESSIONS SCIAGE'!$C:$C,$C32,'2-SESSIONS SCIAGE'!$G:$G,"deviation")</f>
        <v>0</v>
      </c>
      <c r="F32" s="13" t="str">
        <f>SUMIFS('2-SESSIONS SCIAGE'!$F:$F,'2-SESSIONS SCIAGE'!$I:$I,$A32,'2-SESSIONS SCIAGE'!$J:$J,$B32,'2-SESSIONS SCIAGE'!$C:$C,$C32,'2-SESSIONS SCIAGE'!$G:$G,"zéro")+SUMIFS('2-SESSIONS SCIAGE'!$F:$F,'2-SESSIONS SCIAGE'!$I:$I,$A32,'2-SESSIONS SCIAGE'!$J:$J,$B32,'2-SESSIONS SCIAGE'!$C:$C,$C32,'2-SESSIONS SCIAGE'!$G:$G,"panne mécanique")+SUMIFS('2-SESSIONS SCIAGE'!$F:$F,'2-SESSIONS SCIAGE'!$I:$I,$A32,'2-SESSIONS SCIAGE'!$J:$J,$B32,'2-SESSIONS SCIAGE'!$C:$C,$C32,'2-SESSIONS SCIAGE'!$G:$G,"panne électrique")</f>
        <v>0</v>
      </c>
      <c r="G32" s="13" t="str">
        <f>SUMIFS('3-CHANGEMENTS LAMES'!$F:$F,'3-CHANGEMENTS LAMES'!$H:$H,$A32,'3-CHANGEMENTS LAMES'!$I:$I,$B32,'3-CHANGEMENTS LAMES'!$C:$C,$C32)</f>
        <v>48</v>
      </c>
      <c r="H32" s="13" t="str">
        <f>SUMIFS('2-SESSIONS SCIAGE'!$H:$H,'2-SESSIONS SCIAGE'!$I:$I,$A32,'2-SESSIONS SCIAGE'!$J:$J,$B32,'2-SESSIONS SCIAGE'!$C:$C,$C32)</f>
        <v>5</v>
      </c>
      <c r="I32" s="41" t="str">
        <f t="shared" si="1"/>
        <v>53</v>
      </c>
      <c r="J32" s="41" t="str">
        <f t="shared" si="2"/>
        <v>485</v>
      </c>
    </row>
    <row r="33" ht="14.25" customHeight="1">
      <c r="A33" s="40">
        <v>46157.0</v>
      </c>
      <c r="B33" s="11" t="s">
        <v>104</v>
      </c>
      <c r="C33" s="11" t="s">
        <v>27</v>
      </c>
      <c r="D33" s="13" t="str">
        <f>SUMIFS('2-SESSIONS SCIAGE'!$F:$F,'2-SESSIONS SCIAGE'!$I:$I,$A33,'2-SESSIONS SCIAGE'!$J:$J,$B33,'2-SESSIONS SCIAGE'!$C:$C,$C33,'2-SESSIONS SCIAGE'!$G:$G,"ok")</f>
        <v>140</v>
      </c>
      <c r="E33" s="13" t="str">
        <f>SUMIFS('2-SESSIONS SCIAGE'!$F:$F,'2-SESSIONS SCIAGE'!$I:$I,$A33,'2-SESSIONS SCIAGE'!$J:$J,$B33,'2-SESSIONS SCIAGE'!$C:$C,$C33,'2-SESSIONS SCIAGE'!$G:$G,"sciage un côté")+SUMIFS('2-SESSIONS SCIAGE'!$F:$F,'2-SESSIONS SCIAGE'!$I:$I,$A33,'2-SESSIONS SCIAGE'!$J:$J,$B33,'2-SESSIONS SCIAGE'!$C:$C,$C33,'2-SESSIONS SCIAGE'!$G:$G,"mauvaise épaisseur")+SUMIFS('2-SESSIONS SCIAGE'!$F:$F,'2-SESSIONS SCIAGE'!$I:$I,$A33,'2-SESSIONS SCIAGE'!$J:$J,$B33,'2-SESSIONS SCIAGE'!$C:$C,$C33,'2-SESSIONS SCIAGE'!$G:$G,"rayures")+SUMIFS('2-SESSIONS SCIAGE'!$F:$F,'2-SESSIONS SCIAGE'!$I:$I,$A33,'2-SESSIONS SCIAGE'!$J:$J,$B33,'2-SESSIONS SCIAGE'!$C:$C,$C33,'2-SESSIONS SCIAGE'!$G:$G,"deviation")</f>
        <v>309</v>
      </c>
      <c r="F33" s="13" t="str">
        <f>SUMIFS('2-SESSIONS SCIAGE'!$F:$F,'2-SESSIONS SCIAGE'!$I:$I,$A33,'2-SESSIONS SCIAGE'!$J:$J,$B33,'2-SESSIONS SCIAGE'!$C:$C,$C33,'2-SESSIONS SCIAGE'!$G:$G,"zéro")+SUMIFS('2-SESSIONS SCIAGE'!$F:$F,'2-SESSIONS SCIAGE'!$I:$I,$A33,'2-SESSIONS SCIAGE'!$J:$J,$B33,'2-SESSIONS SCIAGE'!$C:$C,$C33,'2-SESSIONS SCIAGE'!$G:$G,"panne mécanique")+SUMIFS('2-SESSIONS SCIAGE'!$F:$F,'2-SESSIONS SCIAGE'!$I:$I,$A33,'2-SESSIONS SCIAGE'!$J:$J,$B33,'2-SESSIONS SCIAGE'!$C:$C,$C33,'2-SESSIONS SCIAGE'!$G:$G,"panne électrique")</f>
        <v>0</v>
      </c>
      <c r="G33" s="13" t="str">
        <f>SUMIFS('3-CHANGEMENTS LAMES'!$F:$F,'3-CHANGEMENTS LAMES'!$H:$H,$A33,'3-CHANGEMENTS LAMES'!$I:$I,$B33,'3-CHANGEMENTS LAMES'!$C:$C,$C33)</f>
        <v>31</v>
      </c>
      <c r="H33" s="13" t="str">
        <f>SUMIFS('2-SESSIONS SCIAGE'!$H:$H,'2-SESSIONS SCIAGE'!$I:$I,$A33,'2-SESSIONS SCIAGE'!$J:$J,$B33,'2-SESSIONS SCIAGE'!$C:$C,$C33)</f>
        <v>0</v>
      </c>
      <c r="I33" s="41" t="str">
        <f t="shared" si="1"/>
        <v>31</v>
      </c>
      <c r="J33" s="41" t="str">
        <f t="shared" si="2"/>
        <v>480</v>
      </c>
    </row>
    <row r="34" ht="14.25" customHeight="1">
      <c r="A34" s="40">
        <v>46157.0</v>
      </c>
      <c r="B34" s="11" t="s">
        <v>105</v>
      </c>
      <c r="C34" s="11" t="s">
        <v>27</v>
      </c>
      <c r="D34" s="13" t="str">
        <f>SUMIFS('2-SESSIONS SCIAGE'!$F:$F,'2-SESSIONS SCIAGE'!$I:$I,$A34,'2-SESSIONS SCIAGE'!$J:$J,$B34,'2-SESSIONS SCIAGE'!$C:$C,$C34,'2-SESSIONS SCIAGE'!$G:$G,"ok")</f>
        <v>120</v>
      </c>
      <c r="E34" s="13" t="str">
        <f>SUMIFS('2-SESSIONS SCIAGE'!$F:$F,'2-SESSIONS SCIAGE'!$I:$I,$A34,'2-SESSIONS SCIAGE'!$J:$J,$B34,'2-SESSIONS SCIAGE'!$C:$C,$C34,'2-SESSIONS SCIAGE'!$G:$G,"sciage un côté")+SUMIFS('2-SESSIONS SCIAGE'!$F:$F,'2-SESSIONS SCIAGE'!$I:$I,$A34,'2-SESSIONS SCIAGE'!$J:$J,$B34,'2-SESSIONS SCIAGE'!$C:$C,$C34,'2-SESSIONS SCIAGE'!$G:$G,"mauvaise épaisseur")+SUMIFS('2-SESSIONS SCIAGE'!$F:$F,'2-SESSIONS SCIAGE'!$I:$I,$A34,'2-SESSIONS SCIAGE'!$J:$J,$B34,'2-SESSIONS SCIAGE'!$C:$C,$C34,'2-SESSIONS SCIAGE'!$G:$G,"rayures")+SUMIFS('2-SESSIONS SCIAGE'!$F:$F,'2-SESSIONS SCIAGE'!$I:$I,$A34,'2-SESSIONS SCIAGE'!$J:$J,$B34,'2-SESSIONS SCIAGE'!$C:$C,$C34,'2-SESSIONS SCIAGE'!$G:$G,"deviation")</f>
        <v>154</v>
      </c>
      <c r="F34" s="13" t="str">
        <f>SUMIFS('2-SESSIONS SCIAGE'!$F:$F,'2-SESSIONS SCIAGE'!$I:$I,$A34,'2-SESSIONS SCIAGE'!$J:$J,$B34,'2-SESSIONS SCIAGE'!$C:$C,$C34,'2-SESSIONS SCIAGE'!$G:$G,"zéro")+SUMIFS('2-SESSIONS SCIAGE'!$F:$F,'2-SESSIONS SCIAGE'!$I:$I,$A34,'2-SESSIONS SCIAGE'!$J:$J,$B34,'2-SESSIONS SCIAGE'!$C:$C,$C34,'2-SESSIONS SCIAGE'!$G:$G,"panne mécanique")+SUMIFS('2-SESSIONS SCIAGE'!$F:$F,'2-SESSIONS SCIAGE'!$I:$I,$A34,'2-SESSIONS SCIAGE'!$J:$J,$B34,'2-SESSIONS SCIAGE'!$C:$C,$C34,'2-SESSIONS SCIAGE'!$G:$G,"panne électrique")</f>
        <v>0</v>
      </c>
      <c r="G34" s="13" t="str">
        <f>SUMIFS('3-CHANGEMENTS LAMES'!$F:$F,'3-CHANGEMENTS LAMES'!$H:$H,$A34,'3-CHANGEMENTS LAMES'!$I:$I,$B34,'3-CHANGEMENTS LAMES'!$C:$C,$C34)</f>
        <v>31</v>
      </c>
      <c r="H34" s="13" t="str">
        <f>SUMIFS('2-SESSIONS SCIAGE'!$H:$H,'2-SESSIONS SCIAGE'!$I:$I,$A34,'2-SESSIONS SCIAGE'!$J:$J,$B34,'2-SESSIONS SCIAGE'!$C:$C,$C34)</f>
        <v>0</v>
      </c>
      <c r="I34" s="41" t="str">
        <f t="shared" si="1"/>
        <v>31</v>
      </c>
      <c r="J34" s="41" t="str">
        <f t="shared" si="2"/>
        <v>305</v>
      </c>
    </row>
    <row r="35" ht="14.25" customHeight="1">
      <c r="A35" s="40">
        <v>46158.0</v>
      </c>
      <c r="B35" s="11" t="s">
        <v>106</v>
      </c>
      <c r="C35" s="11" t="s">
        <v>27</v>
      </c>
      <c r="D35" s="13" t="str">
        <f>SUMIFS('2-SESSIONS SCIAGE'!$F:$F,'2-SESSIONS SCIAGE'!$I:$I,$A35,'2-SESSIONS SCIAGE'!$J:$J,$B35,'2-SESSIONS SCIAGE'!$C:$C,$C35,'2-SESSIONS SCIAGE'!$G:$G,"ok")</f>
        <v>189</v>
      </c>
      <c r="E35" s="13" t="str">
        <f>SUMIFS('2-SESSIONS SCIAGE'!$F:$F,'2-SESSIONS SCIAGE'!$I:$I,$A35,'2-SESSIONS SCIAGE'!$J:$J,$B35,'2-SESSIONS SCIAGE'!$C:$C,$C35,'2-SESSIONS SCIAGE'!$G:$G,"sciage un côté")+SUMIFS('2-SESSIONS SCIAGE'!$F:$F,'2-SESSIONS SCIAGE'!$I:$I,$A35,'2-SESSIONS SCIAGE'!$J:$J,$B35,'2-SESSIONS SCIAGE'!$C:$C,$C35,'2-SESSIONS SCIAGE'!$G:$G,"mauvaise épaisseur")+SUMIFS('2-SESSIONS SCIAGE'!$F:$F,'2-SESSIONS SCIAGE'!$I:$I,$A35,'2-SESSIONS SCIAGE'!$J:$J,$B35,'2-SESSIONS SCIAGE'!$C:$C,$C35,'2-SESSIONS SCIAGE'!$G:$G,"rayures")+SUMIFS('2-SESSIONS SCIAGE'!$F:$F,'2-SESSIONS SCIAGE'!$I:$I,$A35,'2-SESSIONS SCIAGE'!$J:$J,$B35,'2-SESSIONS SCIAGE'!$C:$C,$C35,'2-SESSIONS SCIAGE'!$G:$G,"deviation")</f>
        <v>0</v>
      </c>
      <c r="F35" s="13" t="str">
        <f>SUMIFS('2-SESSIONS SCIAGE'!$F:$F,'2-SESSIONS SCIAGE'!$I:$I,$A35,'2-SESSIONS SCIAGE'!$J:$J,$B35,'2-SESSIONS SCIAGE'!$C:$C,$C35,'2-SESSIONS SCIAGE'!$G:$G,"zéro")+SUMIFS('2-SESSIONS SCIAGE'!$F:$F,'2-SESSIONS SCIAGE'!$I:$I,$A35,'2-SESSIONS SCIAGE'!$J:$J,$B35,'2-SESSIONS SCIAGE'!$C:$C,$C35,'2-SESSIONS SCIAGE'!$G:$G,"panne mécanique")+SUMIFS('2-SESSIONS SCIAGE'!$F:$F,'2-SESSIONS SCIAGE'!$I:$I,$A35,'2-SESSIONS SCIAGE'!$J:$J,$B35,'2-SESSIONS SCIAGE'!$C:$C,$C35,'2-SESSIONS SCIAGE'!$G:$G,"panne électrique")</f>
        <v>95</v>
      </c>
      <c r="G35" s="13" t="str">
        <f>SUMIFS('3-CHANGEMENTS LAMES'!$F:$F,'3-CHANGEMENTS LAMES'!$H:$H,$A35,'3-CHANGEMENTS LAMES'!$I:$I,$B35,'3-CHANGEMENTS LAMES'!$C:$C,$C35)</f>
        <v>64</v>
      </c>
      <c r="H35" s="13" t="str">
        <f>SUMIFS('2-SESSIONS SCIAGE'!$H:$H,'2-SESSIONS SCIAGE'!$I:$I,$A35,'2-SESSIONS SCIAGE'!$J:$J,$B35,'2-SESSIONS SCIAGE'!$C:$C,$C35)</f>
        <v>0</v>
      </c>
      <c r="I35" s="41" t="str">
        <f t="shared" si="1"/>
        <v>159</v>
      </c>
      <c r="J35" s="41" t="str">
        <f t="shared" si="2"/>
        <v>348</v>
      </c>
    </row>
    <row r="36" ht="14.25" customHeight="1">
      <c r="A36" s="40">
        <v>46158.0</v>
      </c>
      <c r="B36" s="11" t="s">
        <v>104</v>
      </c>
      <c r="C36" s="11" t="s">
        <v>27</v>
      </c>
      <c r="D36" s="13" t="str">
        <f>SUMIFS('2-SESSIONS SCIAGE'!$F:$F,'2-SESSIONS SCIAGE'!$I:$I,$A36,'2-SESSIONS SCIAGE'!$J:$J,$B36,'2-SESSIONS SCIAGE'!$C:$C,$C36,'2-SESSIONS SCIAGE'!$G:$G,"ok")</f>
        <v>470</v>
      </c>
      <c r="E36" s="13" t="str">
        <f>SUMIFS('2-SESSIONS SCIAGE'!$F:$F,'2-SESSIONS SCIAGE'!$I:$I,$A36,'2-SESSIONS SCIAGE'!$J:$J,$B36,'2-SESSIONS SCIAGE'!$C:$C,$C36,'2-SESSIONS SCIAGE'!$G:$G,"sciage un côté")+SUMIFS('2-SESSIONS SCIAGE'!$F:$F,'2-SESSIONS SCIAGE'!$I:$I,$A36,'2-SESSIONS SCIAGE'!$J:$J,$B36,'2-SESSIONS SCIAGE'!$C:$C,$C36,'2-SESSIONS SCIAGE'!$G:$G,"mauvaise épaisseur")+SUMIFS('2-SESSIONS SCIAGE'!$F:$F,'2-SESSIONS SCIAGE'!$I:$I,$A36,'2-SESSIONS SCIAGE'!$J:$J,$B36,'2-SESSIONS SCIAGE'!$C:$C,$C36,'2-SESSIONS SCIAGE'!$G:$G,"rayures")+SUMIFS('2-SESSIONS SCIAGE'!$F:$F,'2-SESSIONS SCIAGE'!$I:$I,$A36,'2-SESSIONS SCIAGE'!$J:$J,$B36,'2-SESSIONS SCIAGE'!$C:$C,$C36,'2-SESSIONS SCIAGE'!$G:$G,"deviation")</f>
        <v>0</v>
      </c>
      <c r="F36" s="13" t="str">
        <f>SUMIFS('2-SESSIONS SCIAGE'!$F:$F,'2-SESSIONS SCIAGE'!$I:$I,$A36,'2-SESSIONS SCIAGE'!$J:$J,$B36,'2-SESSIONS SCIAGE'!$C:$C,$C36,'2-SESSIONS SCIAGE'!$G:$G,"zéro")+SUMIFS('2-SESSIONS SCIAGE'!$F:$F,'2-SESSIONS SCIAGE'!$I:$I,$A36,'2-SESSIONS SCIAGE'!$J:$J,$B36,'2-SESSIONS SCIAGE'!$C:$C,$C36,'2-SESSIONS SCIAGE'!$G:$G,"panne mécanique")+SUMIFS('2-SESSIONS SCIAGE'!$F:$F,'2-SESSIONS SCIAGE'!$I:$I,$A36,'2-SESSIONS SCIAGE'!$J:$J,$B36,'2-SESSIONS SCIAGE'!$C:$C,$C36,'2-SESSIONS SCIAGE'!$G:$G,"panne électrique")</f>
        <v>0</v>
      </c>
      <c r="G36" s="13" t="str">
        <f>SUMIFS('3-CHANGEMENTS LAMES'!$F:$F,'3-CHANGEMENTS LAMES'!$H:$H,$A36,'3-CHANGEMENTS LAMES'!$I:$I,$B36,'3-CHANGEMENTS LAMES'!$C:$C,$C36)</f>
        <v>21</v>
      </c>
      <c r="H36" s="13" t="str">
        <f>SUMIFS('2-SESSIONS SCIAGE'!$H:$H,'2-SESSIONS SCIAGE'!$I:$I,$A36,'2-SESSIONS SCIAGE'!$J:$J,$B36,'2-SESSIONS SCIAGE'!$C:$C,$C36)</f>
        <v>5</v>
      </c>
      <c r="I36" s="41" t="str">
        <f t="shared" si="1"/>
        <v>26</v>
      </c>
      <c r="J36" s="41" t="str">
        <f t="shared" si="2"/>
        <v>496</v>
      </c>
    </row>
    <row r="37" ht="14.25" customHeight="1">
      <c r="A37" s="40">
        <v>46158.0</v>
      </c>
      <c r="B37" s="11" t="s">
        <v>105</v>
      </c>
      <c r="C37" s="11" t="s">
        <v>27</v>
      </c>
      <c r="D37" s="13" t="str">
        <f>SUMIFS('2-SESSIONS SCIAGE'!$F:$F,'2-SESSIONS SCIAGE'!$I:$I,$A37,'2-SESSIONS SCIAGE'!$J:$J,$B37,'2-SESSIONS SCIAGE'!$C:$C,$C37,'2-SESSIONS SCIAGE'!$G:$G,"ok")</f>
        <v>272</v>
      </c>
      <c r="E37" s="13" t="str">
        <f>SUMIFS('2-SESSIONS SCIAGE'!$F:$F,'2-SESSIONS SCIAGE'!$I:$I,$A37,'2-SESSIONS SCIAGE'!$J:$J,$B37,'2-SESSIONS SCIAGE'!$C:$C,$C37,'2-SESSIONS SCIAGE'!$G:$G,"sciage un côté")+SUMIFS('2-SESSIONS SCIAGE'!$F:$F,'2-SESSIONS SCIAGE'!$I:$I,$A37,'2-SESSIONS SCIAGE'!$J:$J,$B37,'2-SESSIONS SCIAGE'!$C:$C,$C37,'2-SESSIONS SCIAGE'!$G:$G,"mauvaise épaisseur")+SUMIFS('2-SESSIONS SCIAGE'!$F:$F,'2-SESSIONS SCIAGE'!$I:$I,$A37,'2-SESSIONS SCIAGE'!$J:$J,$B37,'2-SESSIONS SCIAGE'!$C:$C,$C37,'2-SESSIONS SCIAGE'!$G:$G,"rayures")+SUMIFS('2-SESSIONS SCIAGE'!$F:$F,'2-SESSIONS SCIAGE'!$I:$I,$A37,'2-SESSIONS SCIAGE'!$J:$J,$B37,'2-SESSIONS SCIAGE'!$C:$C,$C37,'2-SESSIONS SCIAGE'!$G:$G,"deviation")</f>
        <v>260</v>
      </c>
      <c r="F37" s="13" t="str">
        <f>SUMIFS('2-SESSIONS SCIAGE'!$F:$F,'2-SESSIONS SCIAGE'!$I:$I,$A37,'2-SESSIONS SCIAGE'!$J:$J,$B37,'2-SESSIONS SCIAGE'!$C:$C,$C37,'2-SESSIONS SCIAGE'!$G:$G,"zéro")+SUMIFS('2-SESSIONS SCIAGE'!$F:$F,'2-SESSIONS SCIAGE'!$I:$I,$A37,'2-SESSIONS SCIAGE'!$J:$J,$B37,'2-SESSIONS SCIAGE'!$C:$C,$C37,'2-SESSIONS SCIAGE'!$G:$G,"panne mécanique")+SUMIFS('2-SESSIONS SCIAGE'!$F:$F,'2-SESSIONS SCIAGE'!$I:$I,$A37,'2-SESSIONS SCIAGE'!$J:$J,$B37,'2-SESSIONS SCIAGE'!$C:$C,$C37,'2-SESSIONS SCIAGE'!$G:$G,"panne électrique")</f>
        <v>0</v>
      </c>
      <c r="G37" s="13" t="str">
        <f>SUMIFS('3-CHANGEMENTS LAMES'!$F:$F,'3-CHANGEMENTS LAMES'!$H:$H,$A37,'3-CHANGEMENTS LAMES'!$I:$I,$B37,'3-CHANGEMENTS LAMES'!$C:$C,$C37)</f>
        <v>46</v>
      </c>
      <c r="H37" s="13" t="str">
        <f>SUMIFS('2-SESSIONS SCIAGE'!$H:$H,'2-SESSIONS SCIAGE'!$I:$I,$A37,'2-SESSIONS SCIAGE'!$J:$J,$B37,'2-SESSIONS SCIAGE'!$C:$C,$C37)</f>
        <v>30</v>
      </c>
      <c r="I37" s="41" t="str">
        <f t="shared" si="1"/>
        <v>76</v>
      </c>
      <c r="J37" s="41" t="str">
        <f t="shared" si="2"/>
        <v>608</v>
      </c>
    </row>
    <row r="38" ht="14.25" customHeight="1">
      <c r="A38" s="40">
        <v>46160.0</v>
      </c>
      <c r="B38" s="11" t="s">
        <v>106</v>
      </c>
      <c r="C38" s="11" t="s">
        <v>27</v>
      </c>
      <c r="D38" s="13" t="str">
        <f>SUMIFS('2-SESSIONS SCIAGE'!$F:$F,'2-SESSIONS SCIAGE'!$I:$I,$A38,'2-SESSIONS SCIAGE'!$J:$J,$B38,'2-SESSIONS SCIAGE'!$C:$C,$C38,'2-SESSIONS SCIAGE'!$G:$G,"ok")</f>
        <v>307</v>
      </c>
      <c r="E38" s="13" t="str">
        <f>SUMIFS('2-SESSIONS SCIAGE'!$F:$F,'2-SESSIONS SCIAGE'!$I:$I,$A38,'2-SESSIONS SCIAGE'!$J:$J,$B38,'2-SESSIONS SCIAGE'!$C:$C,$C38,'2-SESSIONS SCIAGE'!$G:$G,"sciage un côté")+SUMIFS('2-SESSIONS SCIAGE'!$F:$F,'2-SESSIONS SCIAGE'!$I:$I,$A38,'2-SESSIONS SCIAGE'!$J:$J,$B38,'2-SESSIONS SCIAGE'!$C:$C,$C38,'2-SESSIONS SCIAGE'!$G:$G,"mauvaise épaisseur")+SUMIFS('2-SESSIONS SCIAGE'!$F:$F,'2-SESSIONS SCIAGE'!$I:$I,$A38,'2-SESSIONS SCIAGE'!$J:$J,$B38,'2-SESSIONS SCIAGE'!$C:$C,$C38,'2-SESSIONS SCIAGE'!$G:$G,"rayures")+SUMIFS('2-SESSIONS SCIAGE'!$F:$F,'2-SESSIONS SCIAGE'!$I:$I,$A38,'2-SESSIONS SCIAGE'!$J:$J,$B38,'2-SESSIONS SCIAGE'!$C:$C,$C38,'2-SESSIONS SCIAGE'!$G:$G,"deviation")</f>
        <v>137</v>
      </c>
      <c r="F38" s="13" t="str">
        <f>SUMIFS('2-SESSIONS SCIAGE'!$F:$F,'2-SESSIONS SCIAGE'!$I:$I,$A38,'2-SESSIONS SCIAGE'!$J:$J,$B38,'2-SESSIONS SCIAGE'!$C:$C,$C38,'2-SESSIONS SCIAGE'!$G:$G,"zéro")+SUMIFS('2-SESSIONS SCIAGE'!$F:$F,'2-SESSIONS SCIAGE'!$I:$I,$A38,'2-SESSIONS SCIAGE'!$J:$J,$B38,'2-SESSIONS SCIAGE'!$C:$C,$C38,'2-SESSIONS SCIAGE'!$G:$G,"panne mécanique")+SUMIFS('2-SESSIONS SCIAGE'!$F:$F,'2-SESSIONS SCIAGE'!$I:$I,$A38,'2-SESSIONS SCIAGE'!$J:$J,$B38,'2-SESSIONS SCIAGE'!$C:$C,$C38,'2-SESSIONS SCIAGE'!$G:$G,"panne électrique")</f>
        <v>0</v>
      </c>
      <c r="G38" s="13" t="str">
        <f>SUMIFS('3-CHANGEMENTS LAMES'!$F:$F,'3-CHANGEMENTS LAMES'!$H:$H,$A38,'3-CHANGEMENTS LAMES'!$I:$I,$B38,'3-CHANGEMENTS LAMES'!$C:$C,$C38)</f>
        <v>58</v>
      </c>
      <c r="H38" s="13" t="str">
        <f>SUMIFS('2-SESSIONS SCIAGE'!$H:$H,'2-SESSIONS SCIAGE'!$I:$I,$A38,'2-SESSIONS SCIAGE'!$J:$J,$B38,'2-SESSIONS SCIAGE'!$C:$C,$C38)</f>
        <v>5</v>
      </c>
      <c r="I38" s="41" t="str">
        <f t="shared" si="1"/>
        <v>63</v>
      </c>
      <c r="J38" s="41" t="str">
        <f t="shared" si="2"/>
        <v>507</v>
      </c>
    </row>
    <row r="39" ht="14.25" customHeight="1">
      <c r="A39" s="40">
        <v>46160.0</v>
      </c>
      <c r="B39" s="11" t="s">
        <v>104</v>
      </c>
      <c r="C39" s="11" t="s">
        <v>27</v>
      </c>
      <c r="D39" s="13" t="str">
        <f>SUMIFS('2-SESSIONS SCIAGE'!$F:$F,'2-SESSIONS SCIAGE'!$I:$I,$A39,'2-SESSIONS SCIAGE'!$J:$J,$B39,'2-SESSIONS SCIAGE'!$C:$C,$C39,'2-SESSIONS SCIAGE'!$G:$G,"ok")</f>
        <v>401</v>
      </c>
      <c r="E39" s="13" t="str">
        <f>SUMIFS('2-SESSIONS SCIAGE'!$F:$F,'2-SESSIONS SCIAGE'!$I:$I,$A39,'2-SESSIONS SCIAGE'!$J:$J,$B39,'2-SESSIONS SCIAGE'!$C:$C,$C39,'2-SESSIONS SCIAGE'!$G:$G,"sciage un côté")+SUMIFS('2-SESSIONS SCIAGE'!$F:$F,'2-SESSIONS SCIAGE'!$I:$I,$A39,'2-SESSIONS SCIAGE'!$J:$J,$B39,'2-SESSIONS SCIAGE'!$C:$C,$C39,'2-SESSIONS SCIAGE'!$G:$G,"mauvaise épaisseur")+SUMIFS('2-SESSIONS SCIAGE'!$F:$F,'2-SESSIONS SCIAGE'!$I:$I,$A39,'2-SESSIONS SCIAGE'!$J:$J,$B39,'2-SESSIONS SCIAGE'!$C:$C,$C39,'2-SESSIONS SCIAGE'!$G:$G,"rayures")+SUMIFS('2-SESSIONS SCIAGE'!$F:$F,'2-SESSIONS SCIAGE'!$I:$I,$A39,'2-SESSIONS SCIAGE'!$J:$J,$B39,'2-SESSIONS SCIAGE'!$C:$C,$C39,'2-SESSIONS SCIAGE'!$G:$G,"deviation")</f>
        <v>27</v>
      </c>
      <c r="F39" s="13" t="str">
        <f>SUMIFS('2-SESSIONS SCIAGE'!$F:$F,'2-SESSIONS SCIAGE'!$I:$I,$A39,'2-SESSIONS SCIAGE'!$J:$J,$B39,'2-SESSIONS SCIAGE'!$C:$C,$C39,'2-SESSIONS SCIAGE'!$G:$G,"zéro")+SUMIFS('2-SESSIONS SCIAGE'!$F:$F,'2-SESSIONS SCIAGE'!$I:$I,$A39,'2-SESSIONS SCIAGE'!$J:$J,$B39,'2-SESSIONS SCIAGE'!$C:$C,$C39,'2-SESSIONS SCIAGE'!$G:$G,"panne mécanique")+SUMIFS('2-SESSIONS SCIAGE'!$F:$F,'2-SESSIONS SCIAGE'!$I:$I,$A39,'2-SESSIONS SCIAGE'!$J:$J,$B39,'2-SESSIONS SCIAGE'!$C:$C,$C39,'2-SESSIONS SCIAGE'!$G:$G,"panne électrique")</f>
        <v>0</v>
      </c>
      <c r="G39" s="13" t="str">
        <f>SUMIFS('3-CHANGEMENTS LAMES'!$F:$F,'3-CHANGEMENTS LAMES'!$H:$H,$A39,'3-CHANGEMENTS LAMES'!$I:$I,$B39,'3-CHANGEMENTS LAMES'!$C:$C,$C39)</f>
        <v>52</v>
      </c>
      <c r="H39" s="13" t="str">
        <f>SUMIFS('2-SESSIONS SCIAGE'!$H:$H,'2-SESSIONS SCIAGE'!$I:$I,$A39,'2-SESSIONS SCIAGE'!$J:$J,$B39,'2-SESSIONS SCIAGE'!$C:$C,$C39)</f>
        <v>3</v>
      </c>
      <c r="I39" s="41" t="str">
        <f t="shared" si="1"/>
        <v>55</v>
      </c>
      <c r="J39" s="41" t="str">
        <f t="shared" si="2"/>
        <v>483</v>
      </c>
    </row>
    <row r="40" ht="14.25" customHeight="1">
      <c r="A40" s="40">
        <v>46160.0</v>
      </c>
      <c r="B40" s="11" t="s">
        <v>105</v>
      </c>
      <c r="C40" s="11" t="s">
        <v>27</v>
      </c>
      <c r="D40" s="13" t="str">
        <f>SUMIFS('2-SESSIONS SCIAGE'!$F:$F,'2-SESSIONS SCIAGE'!$I:$I,$A40,'2-SESSIONS SCIAGE'!$J:$J,$B40,'2-SESSIONS SCIAGE'!$C:$C,$C40,'2-SESSIONS SCIAGE'!$G:$G,"ok")</f>
        <v>359</v>
      </c>
      <c r="E40" s="13" t="str">
        <f>SUMIFS('2-SESSIONS SCIAGE'!$F:$F,'2-SESSIONS SCIAGE'!$I:$I,$A40,'2-SESSIONS SCIAGE'!$J:$J,$B40,'2-SESSIONS SCIAGE'!$C:$C,$C40,'2-SESSIONS SCIAGE'!$G:$G,"sciage un côté")+SUMIFS('2-SESSIONS SCIAGE'!$F:$F,'2-SESSIONS SCIAGE'!$I:$I,$A40,'2-SESSIONS SCIAGE'!$J:$J,$B40,'2-SESSIONS SCIAGE'!$C:$C,$C40,'2-SESSIONS SCIAGE'!$G:$G,"mauvaise épaisseur")+SUMIFS('2-SESSIONS SCIAGE'!$F:$F,'2-SESSIONS SCIAGE'!$I:$I,$A40,'2-SESSIONS SCIAGE'!$J:$J,$B40,'2-SESSIONS SCIAGE'!$C:$C,$C40,'2-SESSIONS SCIAGE'!$G:$G,"rayures")+SUMIFS('2-SESSIONS SCIAGE'!$F:$F,'2-SESSIONS SCIAGE'!$I:$I,$A40,'2-SESSIONS SCIAGE'!$J:$J,$B40,'2-SESSIONS SCIAGE'!$C:$C,$C40,'2-SESSIONS SCIAGE'!$G:$G,"deviation")</f>
        <v>68</v>
      </c>
      <c r="F40" s="13" t="str">
        <f>SUMIFS('2-SESSIONS SCIAGE'!$F:$F,'2-SESSIONS SCIAGE'!$I:$I,$A40,'2-SESSIONS SCIAGE'!$J:$J,$B40,'2-SESSIONS SCIAGE'!$C:$C,$C40,'2-SESSIONS SCIAGE'!$G:$G,"zéro")+SUMIFS('2-SESSIONS SCIAGE'!$F:$F,'2-SESSIONS SCIAGE'!$I:$I,$A40,'2-SESSIONS SCIAGE'!$J:$J,$B40,'2-SESSIONS SCIAGE'!$C:$C,$C40,'2-SESSIONS SCIAGE'!$G:$G,"panne mécanique")+SUMIFS('2-SESSIONS SCIAGE'!$F:$F,'2-SESSIONS SCIAGE'!$I:$I,$A40,'2-SESSIONS SCIAGE'!$J:$J,$B40,'2-SESSIONS SCIAGE'!$C:$C,$C40,'2-SESSIONS SCIAGE'!$G:$G,"panne électrique")</f>
        <v>0</v>
      </c>
      <c r="G40" s="13" t="str">
        <f>SUMIFS('3-CHANGEMENTS LAMES'!$F:$F,'3-CHANGEMENTS LAMES'!$H:$H,$A40,'3-CHANGEMENTS LAMES'!$I:$I,$B40,'3-CHANGEMENTS LAMES'!$C:$C,$C40)</f>
        <v>35</v>
      </c>
      <c r="H40" s="13" t="str">
        <f>SUMIFS('2-SESSIONS SCIAGE'!$H:$H,'2-SESSIONS SCIAGE'!$I:$I,$A40,'2-SESSIONS SCIAGE'!$J:$J,$B40,'2-SESSIONS SCIAGE'!$C:$C,$C40)</f>
        <v>10</v>
      </c>
      <c r="I40" s="41" t="str">
        <f t="shared" si="1"/>
        <v>45</v>
      </c>
      <c r="J40" s="41" t="str">
        <f t="shared" si="2"/>
        <v>472</v>
      </c>
    </row>
    <row r="41" ht="14.25" customHeight="1">
      <c r="A41" s="40">
        <v>46161.0</v>
      </c>
      <c r="B41" s="11" t="s">
        <v>106</v>
      </c>
      <c r="C41" s="11" t="s">
        <v>27</v>
      </c>
      <c r="D41" s="13" t="str">
        <f>SUMIFS('2-SESSIONS SCIAGE'!$F:$F,'2-SESSIONS SCIAGE'!$I:$I,$A41,'2-SESSIONS SCIAGE'!$J:$J,$B41,'2-SESSIONS SCIAGE'!$C:$C,$C41,'2-SESSIONS SCIAGE'!$G:$G,"ok")</f>
        <v>127</v>
      </c>
      <c r="E41" s="13" t="str">
        <f>SUMIFS('2-SESSIONS SCIAGE'!$F:$F,'2-SESSIONS SCIAGE'!$I:$I,$A41,'2-SESSIONS SCIAGE'!$J:$J,$B41,'2-SESSIONS SCIAGE'!$C:$C,$C41,'2-SESSIONS SCIAGE'!$G:$G,"sciage un côté")+SUMIFS('2-SESSIONS SCIAGE'!$F:$F,'2-SESSIONS SCIAGE'!$I:$I,$A41,'2-SESSIONS SCIAGE'!$J:$J,$B41,'2-SESSIONS SCIAGE'!$C:$C,$C41,'2-SESSIONS SCIAGE'!$G:$G,"mauvaise épaisseur")+SUMIFS('2-SESSIONS SCIAGE'!$F:$F,'2-SESSIONS SCIAGE'!$I:$I,$A41,'2-SESSIONS SCIAGE'!$J:$J,$B41,'2-SESSIONS SCIAGE'!$C:$C,$C41,'2-SESSIONS SCIAGE'!$G:$G,"rayures")+SUMIFS('2-SESSIONS SCIAGE'!$F:$F,'2-SESSIONS SCIAGE'!$I:$I,$A41,'2-SESSIONS SCIAGE'!$J:$J,$B41,'2-SESSIONS SCIAGE'!$C:$C,$C41,'2-SESSIONS SCIAGE'!$G:$G,"deviation")</f>
        <v>287</v>
      </c>
      <c r="F41" s="13" t="str">
        <f>SUMIFS('2-SESSIONS SCIAGE'!$F:$F,'2-SESSIONS SCIAGE'!$I:$I,$A41,'2-SESSIONS SCIAGE'!$J:$J,$B41,'2-SESSIONS SCIAGE'!$C:$C,$C41,'2-SESSIONS SCIAGE'!$G:$G,"zéro")+SUMIFS('2-SESSIONS SCIAGE'!$F:$F,'2-SESSIONS SCIAGE'!$I:$I,$A41,'2-SESSIONS SCIAGE'!$J:$J,$B41,'2-SESSIONS SCIAGE'!$C:$C,$C41,'2-SESSIONS SCIAGE'!$G:$G,"panne mécanique")+SUMIFS('2-SESSIONS SCIAGE'!$F:$F,'2-SESSIONS SCIAGE'!$I:$I,$A41,'2-SESSIONS SCIAGE'!$J:$J,$B41,'2-SESSIONS SCIAGE'!$C:$C,$C41,'2-SESSIONS SCIAGE'!$G:$G,"panne électrique")</f>
        <v>0</v>
      </c>
      <c r="G41" s="13" t="str">
        <f>SUMIFS('3-CHANGEMENTS LAMES'!$F:$F,'3-CHANGEMENTS LAMES'!$H:$H,$A41,'3-CHANGEMENTS LAMES'!$I:$I,$B41,'3-CHANGEMENTS LAMES'!$C:$C,$C41)</f>
        <v>66</v>
      </c>
      <c r="H41" s="13" t="str">
        <f>SUMIFS('2-SESSIONS SCIAGE'!$H:$H,'2-SESSIONS SCIAGE'!$I:$I,$A41,'2-SESSIONS SCIAGE'!$J:$J,$B41,'2-SESSIONS SCIAGE'!$C:$C,$C41)</f>
        <v>5</v>
      </c>
      <c r="I41" s="41" t="str">
        <f t="shared" si="1"/>
        <v>71</v>
      </c>
      <c r="J41" s="41" t="str">
        <f t="shared" si="2"/>
        <v>485</v>
      </c>
    </row>
    <row r="42" ht="14.25" customHeight="1">
      <c r="A42" s="40">
        <v>46161.0</v>
      </c>
      <c r="B42" s="11" t="s">
        <v>104</v>
      </c>
      <c r="C42" s="11" t="s">
        <v>27</v>
      </c>
      <c r="D42" s="13" t="str">
        <f>SUMIFS('2-SESSIONS SCIAGE'!$F:$F,'2-SESSIONS SCIAGE'!$I:$I,$A42,'2-SESSIONS SCIAGE'!$J:$J,$B42,'2-SESSIONS SCIAGE'!$C:$C,$C42,'2-SESSIONS SCIAGE'!$G:$G,"ok")</f>
        <v>417</v>
      </c>
      <c r="E42" s="13" t="str">
        <f>SUMIFS('2-SESSIONS SCIAGE'!$F:$F,'2-SESSIONS SCIAGE'!$I:$I,$A42,'2-SESSIONS SCIAGE'!$J:$J,$B42,'2-SESSIONS SCIAGE'!$C:$C,$C42,'2-SESSIONS SCIAGE'!$G:$G,"sciage un côté")+SUMIFS('2-SESSIONS SCIAGE'!$F:$F,'2-SESSIONS SCIAGE'!$I:$I,$A42,'2-SESSIONS SCIAGE'!$J:$J,$B42,'2-SESSIONS SCIAGE'!$C:$C,$C42,'2-SESSIONS SCIAGE'!$G:$G,"mauvaise épaisseur")+SUMIFS('2-SESSIONS SCIAGE'!$F:$F,'2-SESSIONS SCIAGE'!$I:$I,$A42,'2-SESSIONS SCIAGE'!$J:$J,$B42,'2-SESSIONS SCIAGE'!$C:$C,$C42,'2-SESSIONS SCIAGE'!$G:$G,"rayures")+SUMIFS('2-SESSIONS SCIAGE'!$F:$F,'2-SESSIONS SCIAGE'!$I:$I,$A42,'2-SESSIONS SCIAGE'!$J:$J,$B42,'2-SESSIONS SCIAGE'!$C:$C,$C42,'2-SESSIONS SCIAGE'!$G:$G,"deviation")</f>
        <v>21</v>
      </c>
      <c r="F42" s="13" t="str">
        <f>SUMIFS('2-SESSIONS SCIAGE'!$F:$F,'2-SESSIONS SCIAGE'!$I:$I,$A42,'2-SESSIONS SCIAGE'!$J:$J,$B42,'2-SESSIONS SCIAGE'!$C:$C,$C42,'2-SESSIONS SCIAGE'!$G:$G,"zéro")+SUMIFS('2-SESSIONS SCIAGE'!$F:$F,'2-SESSIONS SCIAGE'!$I:$I,$A42,'2-SESSIONS SCIAGE'!$J:$J,$B42,'2-SESSIONS SCIAGE'!$C:$C,$C42,'2-SESSIONS SCIAGE'!$G:$G,"panne mécanique")+SUMIFS('2-SESSIONS SCIAGE'!$F:$F,'2-SESSIONS SCIAGE'!$I:$I,$A42,'2-SESSIONS SCIAGE'!$J:$J,$B42,'2-SESSIONS SCIAGE'!$C:$C,$C42,'2-SESSIONS SCIAGE'!$G:$G,"panne électrique")</f>
        <v>0</v>
      </c>
      <c r="G42" s="13" t="str">
        <f>SUMIFS('3-CHANGEMENTS LAMES'!$F:$F,'3-CHANGEMENTS LAMES'!$H:$H,$A42,'3-CHANGEMENTS LAMES'!$I:$I,$B42,'3-CHANGEMENTS LAMES'!$C:$C,$C42)</f>
        <v>42</v>
      </c>
      <c r="H42" s="13" t="str">
        <f>SUMIFS('2-SESSIONS SCIAGE'!$H:$H,'2-SESSIONS SCIAGE'!$I:$I,$A42,'2-SESSIONS SCIAGE'!$J:$J,$B42,'2-SESSIONS SCIAGE'!$C:$C,$C42)</f>
        <v>15</v>
      </c>
      <c r="I42" s="41" t="str">
        <f t="shared" si="1"/>
        <v>57</v>
      </c>
      <c r="J42" s="41" t="str">
        <f t="shared" si="2"/>
        <v>495</v>
      </c>
    </row>
    <row r="43" ht="14.25" customHeight="1">
      <c r="A43" s="40">
        <v>46161.0</v>
      </c>
      <c r="B43" s="11" t="s">
        <v>105</v>
      </c>
      <c r="C43" s="11" t="s">
        <v>27</v>
      </c>
      <c r="D43" s="13" t="str">
        <f>SUMIFS('2-SESSIONS SCIAGE'!$F:$F,'2-SESSIONS SCIAGE'!$I:$I,$A43,'2-SESSIONS SCIAGE'!$J:$J,$B43,'2-SESSIONS SCIAGE'!$C:$C,$C43,'2-SESSIONS SCIAGE'!$G:$G,"ok")</f>
        <v>451</v>
      </c>
      <c r="E43" s="13" t="str">
        <f>SUMIFS('2-SESSIONS SCIAGE'!$F:$F,'2-SESSIONS SCIAGE'!$I:$I,$A43,'2-SESSIONS SCIAGE'!$J:$J,$B43,'2-SESSIONS SCIAGE'!$C:$C,$C43,'2-SESSIONS SCIAGE'!$G:$G,"sciage un côté")+SUMIFS('2-SESSIONS SCIAGE'!$F:$F,'2-SESSIONS SCIAGE'!$I:$I,$A43,'2-SESSIONS SCIAGE'!$J:$J,$B43,'2-SESSIONS SCIAGE'!$C:$C,$C43,'2-SESSIONS SCIAGE'!$G:$G,"mauvaise épaisseur")+SUMIFS('2-SESSIONS SCIAGE'!$F:$F,'2-SESSIONS SCIAGE'!$I:$I,$A43,'2-SESSIONS SCIAGE'!$J:$J,$B43,'2-SESSIONS SCIAGE'!$C:$C,$C43,'2-SESSIONS SCIAGE'!$G:$G,"rayures")+SUMIFS('2-SESSIONS SCIAGE'!$F:$F,'2-SESSIONS SCIAGE'!$I:$I,$A43,'2-SESSIONS SCIAGE'!$J:$J,$B43,'2-SESSIONS SCIAGE'!$C:$C,$C43,'2-SESSIONS SCIAGE'!$G:$G,"deviation")</f>
        <v>0</v>
      </c>
      <c r="F43" s="13" t="str">
        <f>SUMIFS('2-SESSIONS SCIAGE'!$F:$F,'2-SESSIONS SCIAGE'!$I:$I,$A43,'2-SESSIONS SCIAGE'!$J:$J,$B43,'2-SESSIONS SCIAGE'!$C:$C,$C43,'2-SESSIONS SCIAGE'!$G:$G,"zéro")+SUMIFS('2-SESSIONS SCIAGE'!$F:$F,'2-SESSIONS SCIAGE'!$I:$I,$A43,'2-SESSIONS SCIAGE'!$J:$J,$B43,'2-SESSIONS SCIAGE'!$C:$C,$C43,'2-SESSIONS SCIAGE'!$G:$G,"panne mécanique")+SUMIFS('2-SESSIONS SCIAGE'!$F:$F,'2-SESSIONS SCIAGE'!$I:$I,$A43,'2-SESSIONS SCIAGE'!$J:$J,$B43,'2-SESSIONS SCIAGE'!$C:$C,$C43,'2-SESSIONS SCIAGE'!$G:$G,"panne électrique")</f>
        <v>0</v>
      </c>
      <c r="G43" s="13" t="str">
        <f>SUMIFS('3-CHANGEMENTS LAMES'!$F:$F,'3-CHANGEMENTS LAMES'!$H:$H,$A43,'3-CHANGEMENTS LAMES'!$I:$I,$B43,'3-CHANGEMENTS LAMES'!$C:$C,$C43)</f>
        <v>23</v>
      </c>
      <c r="H43" s="13" t="str">
        <f>SUMIFS('2-SESSIONS SCIAGE'!$H:$H,'2-SESSIONS SCIAGE'!$I:$I,$A43,'2-SESSIONS SCIAGE'!$J:$J,$B43,'2-SESSIONS SCIAGE'!$C:$C,$C43)</f>
        <v>7</v>
      </c>
      <c r="I43" s="41" t="str">
        <f t="shared" si="1"/>
        <v>30</v>
      </c>
      <c r="J43" s="41" t="str">
        <f t="shared" si="2"/>
        <v>481</v>
      </c>
    </row>
    <row r="44" ht="14.25" customHeight="1">
      <c r="A44" s="40">
        <v>46162.0</v>
      </c>
      <c r="B44" s="11" t="s">
        <v>106</v>
      </c>
      <c r="C44" s="11" t="s">
        <v>27</v>
      </c>
      <c r="D44" s="13" t="str">
        <f>SUMIFS('2-SESSIONS SCIAGE'!$F:$F,'2-SESSIONS SCIAGE'!$I:$I,$A44,'2-SESSIONS SCIAGE'!$J:$J,$B44,'2-SESSIONS SCIAGE'!$C:$C,$C44,'2-SESSIONS SCIAGE'!$G:$G,"ok")</f>
        <v>298</v>
      </c>
      <c r="E44" s="13" t="str">
        <f>SUMIFS('2-SESSIONS SCIAGE'!$F:$F,'2-SESSIONS SCIAGE'!$I:$I,$A44,'2-SESSIONS SCIAGE'!$J:$J,$B44,'2-SESSIONS SCIAGE'!$C:$C,$C44,'2-SESSIONS SCIAGE'!$G:$G,"sciage un côté")+SUMIFS('2-SESSIONS SCIAGE'!$F:$F,'2-SESSIONS SCIAGE'!$I:$I,$A44,'2-SESSIONS SCIAGE'!$J:$J,$B44,'2-SESSIONS SCIAGE'!$C:$C,$C44,'2-SESSIONS SCIAGE'!$G:$G,"mauvaise épaisseur")+SUMIFS('2-SESSIONS SCIAGE'!$F:$F,'2-SESSIONS SCIAGE'!$I:$I,$A44,'2-SESSIONS SCIAGE'!$J:$J,$B44,'2-SESSIONS SCIAGE'!$C:$C,$C44,'2-SESSIONS SCIAGE'!$G:$G,"rayures")+SUMIFS('2-SESSIONS SCIAGE'!$F:$F,'2-SESSIONS SCIAGE'!$I:$I,$A44,'2-SESSIONS SCIAGE'!$J:$J,$B44,'2-SESSIONS SCIAGE'!$C:$C,$C44,'2-SESSIONS SCIAGE'!$G:$G,"deviation")</f>
        <v>0</v>
      </c>
      <c r="F44" s="13" t="str">
        <f>SUMIFS('2-SESSIONS SCIAGE'!$F:$F,'2-SESSIONS SCIAGE'!$I:$I,$A44,'2-SESSIONS SCIAGE'!$J:$J,$B44,'2-SESSIONS SCIAGE'!$C:$C,$C44,'2-SESSIONS SCIAGE'!$G:$G,"zéro")+SUMIFS('2-SESSIONS SCIAGE'!$F:$F,'2-SESSIONS SCIAGE'!$I:$I,$A44,'2-SESSIONS SCIAGE'!$J:$J,$B44,'2-SESSIONS SCIAGE'!$C:$C,$C44,'2-SESSIONS SCIAGE'!$G:$G,"panne mécanique")+SUMIFS('2-SESSIONS SCIAGE'!$F:$F,'2-SESSIONS SCIAGE'!$I:$I,$A44,'2-SESSIONS SCIAGE'!$J:$J,$B44,'2-SESSIONS SCIAGE'!$C:$C,$C44,'2-SESSIONS SCIAGE'!$G:$G,"panne électrique")</f>
        <v>0</v>
      </c>
      <c r="G44" s="13" t="str">
        <f>SUMIFS('3-CHANGEMENTS LAMES'!$F:$F,'3-CHANGEMENTS LAMES'!$H:$H,$A44,'3-CHANGEMENTS LAMES'!$I:$I,$B44,'3-CHANGEMENTS LAMES'!$C:$C,$C44)</f>
        <v>34</v>
      </c>
      <c r="H44" s="13" t="str">
        <f>SUMIFS('2-SESSIONS SCIAGE'!$H:$H,'2-SESSIONS SCIAGE'!$I:$I,$A44,'2-SESSIONS SCIAGE'!$J:$J,$B44,'2-SESSIONS SCIAGE'!$C:$C,$C44)</f>
        <v>7</v>
      </c>
      <c r="I44" s="41" t="str">
        <f t="shared" si="1"/>
        <v>41</v>
      </c>
      <c r="J44" s="41" t="str">
        <f t="shared" si="2"/>
        <v>339</v>
      </c>
    </row>
    <row r="45" ht="14.25" customHeight="1">
      <c r="A45" s="40">
        <v>46162.0</v>
      </c>
      <c r="B45" s="11" t="s">
        <v>104</v>
      </c>
      <c r="C45" s="11" t="s">
        <v>27</v>
      </c>
      <c r="D45" s="13" t="str">
        <f>SUMIFS('2-SESSIONS SCIAGE'!$F:$F,'2-SESSIONS SCIAGE'!$I:$I,$A45,'2-SESSIONS SCIAGE'!$J:$J,$B45,'2-SESSIONS SCIAGE'!$C:$C,$C45,'2-SESSIONS SCIAGE'!$G:$G,"ok")</f>
        <v>440</v>
      </c>
      <c r="E45" s="13" t="str">
        <f>SUMIFS('2-SESSIONS SCIAGE'!$F:$F,'2-SESSIONS SCIAGE'!$I:$I,$A45,'2-SESSIONS SCIAGE'!$J:$J,$B45,'2-SESSIONS SCIAGE'!$C:$C,$C45,'2-SESSIONS SCIAGE'!$G:$G,"sciage un côté")+SUMIFS('2-SESSIONS SCIAGE'!$F:$F,'2-SESSIONS SCIAGE'!$I:$I,$A45,'2-SESSIONS SCIAGE'!$J:$J,$B45,'2-SESSIONS SCIAGE'!$C:$C,$C45,'2-SESSIONS SCIAGE'!$G:$G,"mauvaise épaisseur")+SUMIFS('2-SESSIONS SCIAGE'!$F:$F,'2-SESSIONS SCIAGE'!$I:$I,$A45,'2-SESSIONS SCIAGE'!$J:$J,$B45,'2-SESSIONS SCIAGE'!$C:$C,$C45,'2-SESSIONS SCIAGE'!$G:$G,"rayures")+SUMIFS('2-SESSIONS SCIAGE'!$F:$F,'2-SESSIONS SCIAGE'!$I:$I,$A45,'2-SESSIONS SCIAGE'!$J:$J,$B45,'2-SESSIONS SCIAGE'!$C:$C,$C45,'2-SESSIONS SCIAGE'!$G:$G,"deviation")</f>
        <v>0</v>
      </c>
      <c r="F45" s="13" t="str">
        <f>SUMIFS('2-SESSIONS SCIAGE'!$F:$F,'2-SESSIONS SCIAGE'!$I:$I,$A45,'2-SESSIONS SCIAGE'!$J:$J,$B45,'2-SESSIONS SCIAGE'!$C:$C,$C45,'2-SESSIONS SCIAGE'!$G:$G,"zéro")+SUMIFS('2-SESSIONS SCIAGE'!$F:$F,'2-SESSIONS SCIAGE'!$I:$I,$A45,'2-SESSIONS SCIAGE'!$J:$J,$B45,'2-SESSIONS SCIAGE'!$C:$C,$C45,'2-SESSIONS SCIAGE'!$G:$G,"panne mécanique")+SUMIFS('2-SESSIONS SCIAGE'!$F:$F,'2-SESSIONS SCIAGE'!$I:$I,$A45,'2-SESSIONS SCIAGE'!$J:$J,$B45,'2-SESSIONS SCIAGE'!$C:$C,$C45,'2-SESSIONS SCIAGE'!$G:$G,"panne électrique")</f>
        <v>0</v>
      </c>
      <c r="G45" s="13" t="str">
        <f>SUMIFS('3-CHANGEMENTS LAMES'!$F:$F,'3-CHANGEMENTS LAMES'!$H:$H,$A45,'3-CHANGEMENTS LAMES'!$I:$I,$B45,'3-CHANGEMENTS LAMES'!$C:$C,$C45)</f>
        <v>40</v>
      </c>
      <c r="H45" s="13" t="str">
        <f>SUMIFS('2-SESSIONS SCIAGE'!$H:$H,'2-SESSIONS SCIAGE'!$I:$I,$A45,'2-SESSIONS SCIAGE'!$J:$J,$B45,'2-SESSIONS SCIAGE'!$C:$C,$C45)</f>
        <v>10</v>
      </c>
      <c r="I45" s="41" t="str">
        <f t="shared" si="1"/>
        <v>50</v>
      </c>
      <c r="J45" s="41" t="str">
        <f t="shared" si="2"/>
        <v>490</v>
      </c>
    </row>
    <row r="46" ht="14.25" customHeight="1">
      <c r="A46" s="40">
        <v>46162.0</v>
      </c>
      <c r="B46" s="11" t="s">
        <v>105</v>
      </c>
      <c r="C46" s="11" t="s">
        <v>27</v>
      </c>
      <c r="D46" s="13" t="str">
        <f>SUMIFS('2-SESSIONS SCIAGE'!$F:$F,'2-SESSIONS SCIAGE'!$I:$I,$A46,'2-SESSIONS SCIAGE'!$J:$J,$B46,'2-SESSIONS SCIAGE'!$C:$C,$C46,'2-SESSIONS SCIAGE'!$G:$G,"ok")</f>
        <v>402</v>
      </c>
      <c r="E46" s="13" t="str">
        <f>SUMIFS('2-SESSIONS SCIAGE'!$F:$F,'2-SESSIONS SCIAGE'!$I:$I,$A46,'2-SESSIONS SCIAGE'!$J:$J,$B46,'2-SESSIONS SCIAGE'!$C:$C,$C46,'2-SESSIONS SCIAGE'!$G:$G,"sciage un côté")+SUMIFS('2-SESSIONS SCIAGE'!$F:$F,'2-SESSIONS SCIAGE'!$I:$I,$A46,'2-SESSIONS SCIAGE'!$J:$J,$B46,'2-SESSIONS SCIAGE'!$C:$C,$C46,'2-SESSIONS SCIAGE'!$G:$G,"mauvaise épaisseur")+SUMIFS('2-SESSIONS SCIAGE'!$F:$F,'2-SESSIONS SCIAGE'!$I:$I,$A46,'2-SESSIONS SCIAGE'!$J:$J,$B46,'2-SESSIONS SCIAGE'!$C:$C,$C46,'2-SESSIONS SCIAGE'!$G:$G,"rayures")+SUMIFS('2-SESSIONS SCIAGE'!$F:$F,'2-SESSIONS SCIAGE'!$I:$I,$A46,'2-SESSIONS SCIAGE'!$J:$J,$B46,'2-SESSIONS SCIAGE'!$C:$C,$C46,'2-SESSIONS SCIAGE'!$G:$G,"deviation")</f>
        <v>39</v>
      </c>
      <c r="F46" s="13" t="str">
        <f>SUMIFS('2-SESSIONS SCIAGE'!$F:$F,'2-SESSIONS SCIAGE'!$I:$I,$A46,'2-SESSIONS SCIAGE'!$J:$J,$B46,'2-SESSIONS SCIAGE'!$C:$C,$C46,'2-SESSIONS SCIAGE'!$G:$G,"zéro")+SUMIFS('2-SESSIONS SCIAGE'!$F:$F,'2-SESSIONS SCIAGE'!$I:$I,$A46,'2-SESSIONS SCIAGE'!$J:$J,$B46,'2-SESSIONS SCIAGE'!$C:$C,$C46,'2-SESSIONS SCIAGE'!$G:$G,"panne mécanique")+SUMIFS('2-SESSIONS SCIAGE'!$F:$F,'2-SESSIONS SCIAGE'!$I:$I,$A46,'2-SESSIONS SCIAGE'!$J:$J,$B46,'2-SESSIONS SCIAGE'!$C:$C,$C46,'2-SESSIONS SCIAGE'!$G:$G,"panne électrique")</f>
        <v>0</v>
      </c>
      <c r="G46" s="13" t="str">
        <f>SUMIFS('3-CHANGEMENTS LAMES'!$F:$F,'3-CHANGEMENTS LAMES'!$H:$H,$A46,'3-CHANGEMENTS LAMES'!$I:$I,$B46,'3-CHANGEMENTS LAMES'!$C:$C,$C46)</f>
        <v>29</v>
      </c>
      <c r="H46" s="13" t="str">
        <f>SUMIFS('2-SESSIONS SCIAGE'!$H:$H,'2-SESSIONS SCIAGE'!$I:$I,$A46,'2-SESSIONS SCIAGE'!$J:$J,$B46,'2-SESSIONS SCIAGE'!$C:$C,$C46)</f>
        <v>6</v>
      </c>
      <c r="I46" s="41" t="str">
        <f t="shared" si="1"/>
        <v>35</v>
      </c>
      <c r="J46" s="41" t="str">
        <f t="shared" si="2"/>
        <v>476</v>
      </c>
    </row>
    <row r="47" ht="14.25" customHeight="1">
      <c r="A47" s="40">
        <v>46164.0</v>
      </c>
      <c r="B47" s="11" t="s">
        <v>106</v>
      </c>
      <c r="C47" s="11" t="s">
        <v>27</v>
      </c>
      <c r="D47" s="13" t="str">
        <f>SUMIFS('2-SESSIONS SCIAGE'!$F:$F,'2-SESSIONS SCIAGE'!$I:$I,$A47,'2-SESSIONS SCIAGE'!$J:$J,$B47,'2-SESSIONS SCIAGE'!$C:$C,$C47,'2-SESSIONS SCIAGE'!$G:$G,"ok")</f>
        <v>377</v>
      </c>
      <c r="E47" s="13" t="str">
        <f>SUMIFS('2-SESSIONS SCIAGE'!$F:$F,'2-SESSIONS SCIAGE'!$I:$I,$A47,'2-SESSIONS SCIAGE'!$J:$J,$B47,'2-SESSIONS SCIAGE'!$C:$C,$C47,'2-SESSIONS SCIAGE'!$G:$G,"sciage un côté")+SUMIFS('2-SESSIONS SCIAGE'!$F:$F,'2-SESSIONS SCIAGE'!$I:$I,$A47,'2-SESSIONS SCIAGE'!$J:$J,$B47,'2-SESSIONS SCIAGE'!$C:$C,$C47,'2-SESSIONS SCIAGE'!$G:$G,"mauvaise épaisseur")+SUMIFS('2-SESSIONS SCIAGE'!$F:$F,'2-SESSIONS SCIAGE'!$I:$I,$A47,'2-SESSIONS SCIAGE'!$J:$J,$B47,'2-SESSIONS SCIAGE'!$C:$C,$C47,'2-SESSIONS SCIAGE'!$G:$G,"rayures")+SUMIFS('2-SESSIONS SCIAGE'!$F:$F,'2-SESSIONS SCIAGE'!$I:$I,$A47,'2-SESSIONS SCIAGE'!$J:$J,$B47,'2-SESSIONS SCIAGE'!$C:$C,$C47,'2-SESSIONS SCIAGE'!$G:$G,"deviation")</f>
        <v>60</v>
      </c>
      <c r="F47" s="13" t="str">
        <f>SUMIFS('2-SESSIONS SCIAGE'!$F:$F,'2-SESSIONS SCIAGE'!$I:$I,$A47,'2-SESSIONS SCIAGE'!$J:$J,$B47,'2-SESSIONS SCIAGE'!$C:$C,$C47,'2-SESSIONS SCIAGE'!$G:$G,"zéro")+SUMIFS('2-SESSIONS SCIAGE'!$F:$F,'2-SESSIONS SCIAGE'!$I:$I,$A47,'2-SESSIONS SCIAGE'!$J:$J,$B47,'2-SESSIONS SCIAGE'!$C:$C,$C47,'2-SESSIONS SCIAGE'!$G:$G,"panne mécanique")+SUMIFS('2-SESSIONS SCIAGE'!$F:$F,'2-SESSIONS SCIAGE'!$I:$I,$A47,'2-SESSIONS SCIAGE'!$J:$J,$B47,'2-SESSIONS SCIAGE'!$C:$C,$C47,'2-SESSIONS SCIAGE'!$G:$G,"panne électrique")</f>
        <v>0</v>
      </c>
      <c r="G47" s="13" t="str">
        <f>SUMIFS('3-CHANGEMENTS LAMES'!$F:$F,'3-CHANGEMENTS LAMES'!$H:$H,$A47,'3-CHANGEMENTS LAMES'!$I:$I,$B47,'3-CHANGEMENTS LAMES'!$C:$C,$C47)</f>
        <v>43</v>
      </c>
      <c r="H47" s="13" t="str">
        <f>SUMIFS('2-SESSIONS SCIAGE'!$H:$H,'2-SESSIONS SCIAGE'!$I:$I,$A47,'2-SESSIONS SCIAGE'!$J:$J,$B47,'2-SESSIONS SCIAGE'!$C:$C,$C47)</f>
        <v>0</v>
      </c>
      <c r="I47" s="41" t="str">
        <f t="shared" si="1"/>
        <v>43</v>
      </c>
      <c r="J47" s="41" t="str">
        <f t="shared" si="2"/>
        <v>480</v>
      </c>
    </row>
    <row r="48" ht="14.25" customHeight="1">
      <c r="A48" s="40">
        <v>46164.0</v>
      </c>
      <c r="B48" s="11" t="s">
        <v>104</v>
      </c>
      <c r="C48" s="11" t="s">
        <v>27</v>
      </c>
      <c r="D48" s="13" t="str">
        <f>SUMIFS('2-SESSIONS SCIAGE'!$F:$F,'2-SESSIONS SCIAGE'!$I:$I,$A48,'2-SESSIONS SCIAGE'!$J:$J,$B48,'2-SESSIONS SCIAGE'!$C:$C,$C48,'2-SESSIONS SCIAGE'!$G:$G,"ok")</f>
        <v>287</v>
      </c>
      <c r="E48" s="13" t="str">
        <f>SUMIFS('2-SESSIONS SCIAGE'!$F:$F,'2-SESSIONS SCIAGE'!$I:$I,$A48,'2-SESSIONS SCIAGE'!$J:$J,$B48,'2-SESSIONS SCIAGE'!$C:$C,$C48,'2-SESSIONS SCIAGE'!$G:$G,"sciage un côté")+SUMIFS('2-SESSIONS SCIAGE'!$F:$F,'2-SESSIONS SCIAGE'!$I:$I,$A48,'2-SESSIONS SCIAGE'!$J:$J,$B48,'2-SESSIONS SCIAGE'!$C:$C,$C48,'2-SESSIONS SCIAGE'!$G:$G,"mauvaise épaisseur")+SUMIFS('2-SESSIONS SCIAGE'!$F:$F,'2-SESSIONS SCIAGE'!$I:$I,$A48,'2-SESSIONS SCIAGE'!$J:$J,$B48,'2-SESSIONS SCIAGE'!$C:$C,$C48,'2-SESSIONS SCIAGE'!$G:$G,"rayures")+SUMIFS('2-SESSIONS SCIAGE'!$F:$F,'2-SESSIONS SCIAGE'!$I:$I,$A48,'2-SESSIONS SCIAGE'!$J:$J,$B48,'2-SESSIONS SCIAGE'!$C:$C,$C48,'2-SESSIONS SCIAGE'!$G:$G,"deviation")</f>
        <v>0</v>
      </c>
      <c r="F48" s="13" t="str">
        <f>SUMIFS('2-SESSIONS SCIAGE'!$F:$F,'2-SESSIONS SCIAGE'!$I:$I,$A48,'2-SESSIONS SCIAGE'!$J:$J,$B48,'2-SESSIONS SCIAGE'!$C:$C,$C48,'2-SESSIONS SCIAGE'!$G:$G,"zéro")+SUMIFS('2-SESSIONS SCIAGE'!$F:$F,'2-SESSIONS SCIAGE'!$I:$I,$A48,'2-SESSIONS SCIAGE'!$J:$J,$B48,'2-SESSIONS SCIAGE'!$C:$C,$C48,'2-SESSIONS SCIAGE'!$G:$G,"panne mécanique")+SUMIFS('2-SESSIONS SCIAGE'!$F:$F,'2-SESSIONS SCIAGE'!$I:$I,$A48,'2-SESSIONS SCIAGE'!$J:$J,$B48,'2-SESSIONS SCIAGE'!$C:$C,$C48,'2-SESSIONS SCIAGE'!$G:$G,"panne électrique")</f>
        <v>0</v>
      </c>
      <c r="G48" s="13" t="str">
        <f>SUMIFS('3-CHANGEMENTS LAMES'!$F:$F,'3-CHANGEMENTS LAMES'!$H:$H,$A48,'3-CHANGEMENTS LAMES'!$I:$I,$B48,'3-CHANGEMENTS LAMES'!$C:$C,$C48)</f>
        <v>47</v>
      </c>
      <c r="H48" s="13" t="str">
        <f>SUMIFS('2-SESSIONS SCIAGE'!$H:$H,'2-SESSIONS SCIAGE'!$I:$I,$A48,'2-SESSIONS SCIAGE'!$J:$J,$B48,'2-SESSIONS SCIAGE'!$C:$C,$C48)</f>
        <v>0</v>
      </c>
      <c r="I48" s="41" t="str">
        <f t="shared" si="1"/>
        <v>47</v>
      </c>
      <c r="J48" s="41" t="str">
        <f t="shared" si="2"/>
        <v>334</v>
      </c>
    </row>
    <row r="49" ht="14.25" customHeight="1">
      <c r="A49" s="40">
        <v>46164.0</v>
      </c>
      <c r="B49" s="11" t="s">
        <v>105</v>
      </c>
      <c r="C49" s="11" t="s">
        <v>27</v>
      </c>
      <c r="D49" s="13" t="str">
        <f>SUMIFS('2-SESSIONS SCIAGE'!$F:$F,'2-SESSIONS SCIAGE'!$I:$I,$A49,'2-SESSIONS SCIAGE'!$J:$J,$B49,'2-SESSIONS SCIAGE'!$C:$C,$C49,'2-SESSIONS SCIAGE'!$G:$G,"ok")</f>
        <v>348</v>
      </c>
      <c r="E49" s="13" t="str">
        <f>SUMIFS('2-SESSIONS SCIAGE'!$F:$F,'2-SESSIONS SCIAGE'!$I:$I,$A49,'2-SESSIONS SCIAGE'!$J:$J,$B49,'2-SESSIONS SCIAGE'!$C:$C,$C49,'2-SESSIONS SCIAGE'!$G:$G,"sciage un côté")+SUMIFS('2-SESSIONS SCIAGE'!$F:$F,'2-SESSIONS SCIAGE'!$I:$I,$A49,'2-SESSIONS SCIAGE'!$J:$J,$B49,'2-SESSIONS SCIAGE'!$C:$C,$C49,'2-SESSIONS SCIAGE'!$G:$G,"mauvaise épaisseur")+SUMIFS('2-SESSIONS SCIAGE'!$F:$F,'2-SESSIONS SCIAGE'!$I:$I,$A49,'2-SESSIONS SCIAGE'!$J:$J,$B49,'2-SESSIONS SCIAGE'!$C:$C,$C49,'2-SESSIONS SCIAGE'!$G:$G,"rayures")+SUMIFS('2-SESSIONS SCIAGE'!$F:$F,'2-SESSIONS SCIAGE'!$I:$I,$A49,'2-SESSIONS SCIAGE'!$J:$J,$B49,'2-SESSIONS SCIAGE'!$C:$C,$C49,'2-SESSIONS SCIAGE'!$G:$G,"deviation")</f>
        <v>69</v>
      </c>
      <c r="F49" s="13" t="str">
        <f>SUMIFS('2-SESSIONS SCIAGE'!$F:$F,'2-SESSIONS SCIAGE'!$I:$I,$A49,'2-SESSIONS SCIAGE'!$J:$J,$B49,'2-SESSIONS SCIAGE'!$C:$C,$C49,'2-SESSIONS SCIAGE'!$G:$G,"zéro")+SUMIFS('2-SESSIONS SCIAGE'!$F:$F,'2-SESSIONS SCIAGE'!$I:$I,$A49,'2-SESSIONS SCIAGE'!$J:$J,$B49,'2-SESSIONS SCIAGE'!$C:$C,$C49,'2-SESSIONS SCIAGE'!$G:$G,"panne mécanique")+SUMIFS('2-SESSIONS SCIAGE'!$F:$F,'2-SESSIONS SCIAGE'!$I:$I,$A49,'2-SESSIONS SCIAGE'!$J:$J,$B49,'2-SESSIONS SCIAGE'!$C:$C,$C49,'2-SESSIONS SCIAGE'!$G:$G,"panne électrique")</f>
        <v>0</v>
      </c>
      <c r="G49" s="13" t="str">
        <f>SUMIFS('3-CHANGEMENTS LAMES'!$F:$F,'3-CHANGEMENTS LAMES'!$H:$H,$A49,'3-CHANGEMENTS LAMES'!$I:$I,$B49,'3-CHANGEMENTS LAMES'!$C:$C,$C49)</f>
        <v>48</v>
      </c>
      <c r="H49" s="13" t="str">
        <f>SUMIFS('2-SESSIONS SCIAGE'!$H:$H,'2-SESSIONS SCIAGE'!$I:$I,$A49,'2-SESSIONS SCIAGE'!$J:$J,$B49,'2-SESSIONS SCIAGE'!$C:$C,$C49)</f>
        <v>15</v>
      </c>
      <c r="I49" s="41" t="str">
        <f t="shared" si="1"/>
        <v>63</v>
      </c>
      <c r="J49" s="41" t="str">
        <f t="shared" si="2"/>
        <v>480</v>
      </c>
    </row>
    <row r="50" ht="14.25" customHeight="1">
      <c r="A50" s="40">
        <v>46165.0</v>
      </c>
      <c r="B50" s="11" t="s">
        <v>106</v>
      </c>
      <c r="C50" s="11" t="s">
        <v>27</v>
      </c>
      <c r="D50" s="13" t="str">
        <f>SUMIFS('2-SESSIONS SCIAGE'!$F:$F,'2-SESSIONS SCIAGE'!$I:$I,$A50,'2-SESSIONS SCIAGE'!$J:$J,$B50,'2-SESSIONS SCIAGE'!$C:$C,$C50,'2-SESSIONS SCIAGE'!$G:$G,"ok")</f>
        <v>375</v>
      </c>
      <c r="E50" s="13" t="str">
        <f>SUMIFS('2-SESSIONS SCIAGE'!$F:$F,'2-SESSIONS SCIAGE'!$I:$I,$A50,'2-SESSIONS SCIAGE'!$J:$J,$B50,'2-SESSIONS SCIAGE'!$C:$C,$C50,'2-SESSIONS SCIAGE'!$G:$G,"sciage un côté")+SUMIFS('2-SESSIONS SCIAGE'!$F:$F,'2-SESSIONS SCIAGE'!$I:$I,$A50,'2-SESSIONS SCIAGE'!$J:$J,$B50,'2-SESSIONS SCIAGE'!$C:$C,$C50,'2-SESSIONS SCIAGE'!$G:$G,"mauvaise épaisseur")+SUMIFS('2-SESSIONS SCIAGE'!$F:$F,'2-SESSIONS SCIAGE'!$I:$I,$A50,'2-SESSIONS SCIAGE'!$J:$J,$B50,'2-SESSIONS SCIAGE'!$C:$C,$C50,'2-SESSIONS SCIAGE'!$G:$G,"rayures")+SUMIFS('2-SESSIONS SCIAGE'!$F:$F,'2-SESSIONS SCIAGE'!$I:$I,$A50,'2-SESSIONS SCIAGE'!$J:$J,$B50,'2-SESSIONS SCIAGE'!$C:$C,$C50,'2-SESSIONS SCIAGE'!$G:$G,"deviation")</f>
        <v>74</v>
      </c>
      <c r="F50" s="13" t="str">
        <f>SUMIFS('2-SESSIONS SCIAGE'!$F:$F,'2-SESSIONS SCIAGE'!$I:$I,$A50,'2-SESSIONS SCIAGE'!$J:$J,$B50,'2-SESSIONS SCIAGE'!$C:$C,$C50,'2-SESSIONS SCIAGE'!$G:$G,"zéro")+SUMIFS('2-SESSIONS SCIAGE'!$F:$F,'2-SESSIONS SCIAGE'!$I:$I,$A50,'2-SESSIONS SCIAGE'!$J:$J,$B50,'2-SESSIONS SCIAGE'!$C:$C,$C50,'2-SESSIONS SCIAGE'!$G:$G,"panne mécanique")+SUMIFS('2-SESSIONS SCIAGE'!$F:$F,'2-SESSIONS SCIAGE'!$I:$I,$A50,'2-SESSIONS SCIAGE'!$J:$J,$B50,'2-SESSIONS SCIAGE'!$C:$C,$C50,'2-SESSIONS SCIAGE'!$G:$G,"panne électrique")</f>
        <v>0</v>
      </c>
      <c r="G50" s="13" t="str">
        <f>SUMIFS('3-CHANGEMENTS LAMES'!$F:$F,'3-CHANGEMENTS LAMES'!$H:$H,$A50,'3-CHANGEMENTS LAMES'!$I:$I,$B50,'3-CHANGEMENTS LAMES'!$C:$C,$C50)</f>
        <v>36</v>
      </c>
      <c r="H50" s="13" t="str">
        <f>SUMIFS('2-SESSIONS SCIAGE'!$H:$H,'2-SESSIONS SCIAGE'!$I:$I,$A50,'2-SESSIONS SCIAGE'!$J:$J,$B50,'2-SESSIONS SCIAGE'!$C:$C,$C50)</f>
        <v>0</v>
      </c>
      <c r="I50" s="41" t="str">
        <f t="shared" si="1"/>
        <v>36</v>
      </c>
      <c r="J50" s="41" t="str">
        <f t="shared" si="2"/>
        <v>485</v>
      </c>
    </row>
    <row r="51" ht="14.25" customHeight="1">
      <c r="A51" s="40">
        <v>46165.0</v>
      </c>
      <c r="B51" s="11" t="s">
        <v>104</v>
      </c>
      <c r="C51" s="11" t="s">
        <v>27</v>
      </c>
      <c r="D51" s="13" t="str">
        <f>SUMIFS('2-SESSIONS SCIAGE'!$F:$F,'2-SESSIONS SCIAGE'!$I:$I,$A51,'2-SESSIONS SCIAGE'!$J:$J,$B51,'2-SESSIONS SCIAGE'!$C:$C,$C51,'2-SESSIONS SCIAGE'!$G:$G,"ok")</f>
        <v>303</v>
      </c>
      <c r="E51" s="13" t="str">
        <f>SUMIFS('2-SESSIONS SCIAGE'!$F:$F,'2-SESSIONS SCIAGE'!$I:$I,$A51,'2-SESSIONS SCIAGE'!$J:$J,$B51,'2-SESSIONS SCIAGE'!$C:$C,$C51,'2-SESSIONS SCIAGE'!$G:$G,"sciage un côté")+SUMIFS('2-SESSIONS SCIAGE'!$F:$F,'2-SESSIONS SCIAGE'!$I:$I,$A51,'2-SESSIONS SCIAGE'!$J:$J,$B51,'2-SESSIONS SCIAGE'!$C:$C,$C51,'2-SESSIONS SCIAGE'!$G:$G,"mauvaise épaisseur")+SUMIFS('2-SESSIONS SCIAGE'!$F:$F,'2-SESSIONS SCIAGE'!$I:$I,$A51,'2-SESSIONS SCIAGE'!$J:$J,$B51,'2-SESSIONS SCIAGE'!$C:$C,$C51,'2-SESSIONS SCIAGE'!$G:$G,"rayures")+SUMIFS('2-SESSIONS SCIAGE'!$F:$F,'2-SESSIONS SCIAGE'!$I:$I,$A51,'2-SESSIONS SCIAGE'!$J:$J,$B51,'2-SESSIONS SCIAGE'!$C:$C,$C51,'2-SESSIONS SCIAGE'!$G:$G,"deviation")</f>
        <v>9</v>
      </c>
      <c r="F51" s="13" t="str">
        <f>SUMIFS('2-SESSIONS SCIAGE'!$F:$F,'2-SESSIONS SCIAGE'!$I:$I,$A51,'2-SESSIONS SCIAGE'!$J:$J,$B51,'2-SESSIONS SCIAGE'!$C:$C,$C51,'2-SESSIONS SCIAGE'!$G:$G,"zéro")+SUMIFS('2-SESSIONS SCIAGE'!$F:$F,'2-SESSIONS SCIAGE'!$I:$I,$A51,'2-SESSIONS SCIAGE'!$J:$J,$B51,'2-SESSIONS SCIAGE'!$C:$C,$C51,'2-SESSIONS SCIAGE'!$G:$G,"panne mécanique")+SUMIFS('2-SESSIONS SCIAGE'!$F:$F,'2-SESSIONS SCIAGE'!$I:$I,$A51,'2-SESSIONS SCIAGE'!$J:$J,$B51,'2-SESSIONS SCIAGE'!$C:$C,$C51,'2-SESSIONS SCIAGE'!$G:$G,"panne électrique")</f>
        <v>103</v>
      </c>
      <c r="G51" s="13" t="str">
        <f>SUMIFS('3-CHANGEMENTS LAMES'!$F:$F,'3-CHANGEMENTS LAMES'!$H:$H,$A51,'3-CHANGEMENTS LAMES'!$I:$I,$B51,'3-CHANGEMENTS LAMES'!$C:$C,$C51)</f>
        <v>60</v>
      </c>
      <c r="H51" s="13" t="str">
        <f>SUMIFS('2-SESSIONS SCIAGE'!$H:$H,'2-SESSIONS SCIAGE'!$I:$I,$A51,'2-SESSIONS SCIAGE'!$J:$J,$B51,'2-SESSIONS SCIAGE'!$C:$C,$C51)</f>
        <v>10</v>
      </c>
      <c r="I51" s="41" t="str">
        <f t="shared" si="1"/>
        <v>173</v>
      </c>
      <c r="J51" s="41" t="str">
        <f t="shared" si="2"/>
        <v>485</v>
      </c>
    </row>
    <row r="52" ht="14.25" customHeight="1">
      <c r="A52" s="40">
        <v>46165.0</v>
      </c>
      <c r="B52" s="11" t="s">
        <v>105</v>
      </c>
      <c r="C52" s="11" t="s">
        <v>27</v>
      </c>
      <c r="D52" s="13" t="str">
        <f>SUMIFS('2-SESSIONS SCIAGE'!$F:$F,'2-SESSIONS SCIAGE'!$I:$I,$A52,'2-SESSIONS SCIAGE'!$J:$J,$B52,'2-SESSIONS SCIAGE'!$C:$C,$C52,'2-SESSIONS SCIAGE'!$G:$G,"ok")</f>
        <v>227</v>
      </c>
      <c r="E52" s="13" t="str">
        <f>SUMIFS('2-SESSIONS SCIAGE'!$F:$F,'2-SESSIONS SCIAGE'!$I:$I,$A52,'2-SESSIONS SCIAGE'!$J:$J,$B52,'2-SESSIONS SCIAGE'!$C:$C,$C52,'2-SESSIONS SCIAGE'!$G:$G,"sciage un côté")+SUMIFS('2-SESSIONS SCIAGE'!$F:$F,'2-SESSIONS SCIAGE'!$I:$I,$A52,'2-SESSIONS SCIAGE'!$J:$J,$B52,'2-SESSIONS SCIAGE'!$C:$C,$C52,'2-SESSIONS SCIAGE'!$G:$G,"mauvaise épaisseur")+SUMIFS('2-SESSIONS SCIAGE'!$F:$F,'2-SESSIONS SCIAGE'!$I:$I,$A52,'2-SESSIONS SCIAGE'!$J:$J,$B52,'2-SESSIONS SCIAGE'!$C:$C,$C52,'2-SESSIONS SCIAGE'!$G:$G,"rayures")+SUMIFS('2-SESSIONS SCIAGE'!$F:$F,'2-SESSIONS SCIAGE'!$I:$I,$A52,'2-SESSIONS SCIAGE'!$J:$J,$B52,'2-SESSIONS SCIAGE'!$C:$C,$C52,'2-SESSIONS SCIAGE'!$G:$G,"deviation")</f>
        <v>97</v>
      </c>
      <c r="F52" s="13" t="str">
        <f>SUMIFS('2-SESSIONS SCIAGE'!$F:$F,'2-SESSIONS SCIAGE'!$I:$I,$A52,'2-SESSIONS SCIAGE'!$J:$J,$B52,'2-SESSIONS SCIAGE'!$C:$C,$C52,'2-SESSIONS SCIAGE'!$G:$G,"zéro")+SUMIFS('2-SESSIONS SCIAGE'!$F:$F,'2-SESSIONS SCIAGE'!$I:$I,$A52,'2-SESSIONS SCIAGE'!$J:$J,$B52,'2-SESSIONS SCIAGE'!$C:$C,$C52,'2-SESSIONS SCIAGE'!$G:$G,"panne mécanique")+SUMIFS('2-SESSIONS SCIAGE'!$F:$F,'2-SESSIONS SCIAGE'!$I:$I,$A52,'2-SESSIONS SCIAGE'!$J:$J,$B52,'2-SESSIONS SCIAGE'!$C:$C,$C52,'2-SESSIONS SCIAGE'!$G:$G,"panne électrique")</f>
        <v>125</v>
      </c>
      <c r="G52" s="13" t="str">
        <f>SUMIFS('3-CHANGEMENTS LAMES'!$F:$F,'3-CHANGEMENTS LAMES'!$H:$H,$A52,'3-CHANGEMENTS LAMES'!$I:$I,$B52,'3-CHANGEMENTS LAMES'!$C:$C,$C52)</f>
        <v>28</v>
      </c>
      <c r="H52" s="13" t="str">
        <f>SUMIFS('2-SESSIONS SCIAGE'!$H:$H,'2-SESSIONS SCIAGE'!$I:$I,$A52,'2-SESSIONS SCIAGE'!$J:$J,$B52,'2-SESSIONS SCIAGE'!$C:$C,$C52)</f>
        <v>1</v>
      </c>
      <c r="I52" s="41" t="str">
        <f t="shared" si="1"/>
        <v>154</v>
      </c>
      <c r="J52" s="41" t="str">
        <f t="shared" si="2"/>
        <v>478</v>
      </c>
    </row>
    <row r="53" ht="14.25" customHeight="1">
      <c r="A53" s="40">
        <v>46167.0</v>
      </c>
      <c r="B53" s="11" t="s">
        <v>106</v>
      </c>
      <c r="C53" s="11" t="s">
        <v>27</v>
      </c>
      <c r="D53" s="13" t="str">
        <f>SUMIFS('2-SESSIONS SCIAGE'!$F:$F,'2-SESSIONS SCIAGE'!$I:$I,$A53,'2-SESSIONS SCIAGE'!$J:$J,$B53,'2-SESSIONS SCIAGE'!$C:$C,$C53,'2-SESSIONS SCIAGE'!$G:$G,"ok")</f>
        <v>327</v>
      </c>
      <c r="E53" s="13" t="str">
        <f>SUMIFS('2-SESSIONS SCIAGE'!$F:$F,'2-SESSIONS SCIAGE'!$I:$I,$A53,'2-SESSIONS SCIAGE'!$J:$J,$B53,'2-SESSIONS SCIAGE'!$C:$C,$C53,'2-SESSIONS SCIAGE'!$G:$G,"sciage un côté")+SUMIFS('2-SESSIONS SCIAGE'!$F:$F,'2-SESSIONS SCIAGE'!$I:$I,$A53,'2-SESSIONS SCIAGE'!$J:$J,$B53,'2-SESSIONS SCIAGE'!$C:$C,$C53,'2-SESSIONS SCIAGE'!$G:$G,"mauvaise épaisseur")+SUMIFS('2-SESSIONS SCIAGE'!$F:$F,'2-SESSIONS SCIAGE'!$I:$I,$A53,'2-SESSIONS SCIAGE'!$J:$J,$B53,'2-SESSIONS SCIAGE'!$C:$C,$C53,'2-SESSIONS SCIAGE'!$G:$G,"rayures")+SUMIFS('2-SESSIONS SCIAGE'!$F:$F,'2-SESSIONS SCIAGE'!$I:$I,$A53,'2-SESSIONS SCIAGE'!$J:$J,$B53,'2-SESSIONS SCIAGE'!$C:$C,$C53,'2-SESSIONS SCIAGE'!$G:$G,"deviation")</f>
        <v>0</v>
      </c>
      <c r="F53" s="13" t="str">
        <f>SUMIFS('2-SESSIONS SCIAGE'!$F:$F,'2-SESSIONS SCIAGE'!$I:$I,$A53,'2-SESSIONS SCIAGE'!$J:$J,$B53,'2-SESSIONS SCIAGE'!$C:$C,$C53,'2-SESSIONS SCIAGE'!$G:$G,"zéro")+SUMIFS('2-SESSIONS SCIAGE'!$F:$F,'2-SESSIONS SCIAGE'!$I:$I,$A53,'2-SESSIONS SCIAGE'!$J:$J,$B53,'2-SESSIONS SCIAGE'!$C:$C,$C53,'2-SESSIONS SCIAGE'!$G:$G,"panne mécanique")+SUMIFS('2-SESSIONS SCIAGE'!$F:$F,'2-SESSIONS SCIAGE'!$I:$I,$A53,'2-SESSIONS SCIAGE'!$J:$J,$B53,'2-SESSIONS SCIAGE'!$C:$C,$C53,'2-SESSIONS SCIAGE'!$G:$G,"panne électrique")</f>
        <v>0</v>
      </c>
      <c r="G53" s="13" t="str">
        <f>SUMIFS('3-CHANGEMENTS LAMES'!$F:$F,'3-CHANGEMENTS LAMES'!$H:$H,$A53,'3-CHANGEMENTS LAMES'!$I:$I,$B53,'3-CHANGEMENTS LAMES'!$C:$C,$C53)</f>
        <v>23</v>
      </c>
      <c r="H53" s="13" t="str">
        <f>SUMIFS('2-SESSIONS SCIAGE'!$H:$H,'2-SESSIONS SCIAGE'!$I:$I,$A53,'2-SESSIONS SCIAGE'!$J:$J,$B53,'2-SESSIONS SCIAGE'!$C:$C,$C53)</f>
        <v>15</v>
      </c>
      <c r="I53" s="41" t="str">
        <f t="shared" si="1"/>
        <v>38</v>
      </c>
      <c r="J53" s="41" t="str">
        <f t="shared" si="2"/>
        <v>365</v>
      </c>
    </row>
    <row r="54" ht="14.25" customHeight="1">
      <c r="A54" s="40">
        <v>46167.0</v>
      </c>
      <c r="B54" s="11" t="s">
        <v>104</v>
      </c>
      <c r="C54" s="11" t="s">
        <v>27</v>
      </c>
      <c r="D54" s="13" t="str">
        <f>SUMIFS('2-SESSIONS SCIAGE'!$F:$F,'2-SESSIONS SCIAGE'!$I:$I,$A54,'2-SESSIONS SCIAGE'!$J:$J,$B54,'2-SESSIONS SCIAGE'!$C:$C,$C54,'2-SESSIONS SCIAGE'!$G:$G,"ok")</f>
        <v>338</v>
      </c>
      <c r="E54" s="13" t="str">
        <f>SUMIFS('2-SESSIONS SCIAGE'!$F:$F,'2-SESSIONS SCIAGE'!$I:$I,$A54,'2-SESSIONS SCIAGE'!$J:$J,$B54,'2-SESSIONS SCIAGE'!$C:$C,$C54,'2-SESSIONS SCIAGE'!$G:$G,"sciage un côté")+SUMIFS('2-SESSIONS SCIAGE'!$F:$F,'2-SESSIONS SCIAGE'!$I:$I,$A54,'2-SESSIONS SCIAGE'!$J:$J,$B54,'2-SESSIONS SCIAGE'!$C:$C,$C54,'2-SESSIONS SCIAGE'!$G:$G,"mauvaise épaisseur")+SUMIFS('2-SESSIONS SCIAGE'!$F:$F,'2-SESSIONS SCIAGE'!$I:$I,$A54,'2-SESSIONS SCIAGE'!$J:$J,$B54,'2-SESSIONS SCIAGE'!$C:$C,$C54,'2-SESSIONS SCIAGE'!$G:$G,"rayures")+SUMIFS('2-SESSIONS SCIAGE'!$F:$F,'2-SESSIONS SCIAGE'!$I:$I,$A54,'2-SESSIONS SCIAGE'!$J:$J,$B54,'2-SESSIONS SCIAGE'!$C:$C,$C54,'2-SESSIONS SCIAGE'!$G:$G,"deviation")</f>
        <v>0</v>
      </c>
      <c r="F54" s="13" t="str">
        <f>SUMIFS('2-SESSIONS SCIAGE'!$F:$F,'2-SESSIONS SCIAGE'!$I:$I,$A54,'2-SESSIONS SCIAGE'!$J:$J,$B54,'2-SESSIONS SCIAGE'!$C:$C,$C54,'2-SESSIONS SCIAGE'!$G:$G,"zéro")+SUMIFS('2-SESSIONS SCIAGE'!$F:$F,'2-SESSIONS SCIAGE'!$I:$I,$A54,'2-SESSIONS SCIAGE'!$J:$J,$B54,'2-SESSIONS SCIAGE'!$C:$C,$C54,'2-SESSIONS SCIAGE'!$G:$G,"panne mécanique")+SUMIFS('2-SESSIONS SCIAGE'!$F:$F,'2-SESSIONS SCIAGE'!$I:$I,$A54,'2-SESSIONS SCIAGE'!$J:$J,$B54,'2-SESSIONS SCIAGE'!$C:$C,$C54,'2-SESSIONS SCIAGE'!$G:$G,"panne électrique")</f>
        <v>0</v>
      </c>
      <c r="G54" s="13" t="str">
        <f>SUMIFS('3-CHANGEMENTS LAMES'!$F:$F,'3-CHANGEMENTS LAMES'!$H:$H,$A54,'3-CHANGEMENTS LAMES'!$I:$I,$B54,'3-CHANGEMENTS LAMES'!$C:$C,$C54)</f>
        <v>142</v>
      </c>
      <c r="H54" s="13" t="str">
        <f>SUMIFS('2-SESSIONS SCIAGE'!$H:$H,'2-SESSIONS SCIAGE'!$I:$I,$A54,'2-SESSIONS SCIAGE'!$J:$J,$B54,'2-SESSIONS SCIAGE'!$C:$C,$C54)</f>
        <v>0</v>
      </c>
      <c r="I54" s="41" t="str">
        <f t="shared" si="1"/>
        <v>142</v>
      </c>
      <c r="J54" s="41" t="str">
        <f t="shared" si="2"/>
        <v>480</v>
      </c>
    </row>
    <row r="55" ht="14.25" customHeight="1">
      <c r="A55" s="40">
        <v>46167.0</v>
      </c>
      <c r="B55" s="11" t="s">
        <v>105</v>
      </c>
      <c r="C55" s="11" t="s">
        <v>27</v>
      </c>
      <c r="D55" s="13" t="str">
        <f>SUMIFS('2-SESSIONS SCIAGE'!$F:$F,'2-SESSIONS SCIAGE'!$I:$I,$A55,'2-SESSIONS SCIAGE'!$J:$J,$B55,'2-SESSIONS SCIAGE'!$C:$C,$C55,'2-SESSIONS SCIAGE'!$G:$G,"ok")</f>
        <v>338</v>
      </c>
      <c r="E55" s="13" t="str">
        <f>SUMIFS('2-SESSIONS SCIAGE'!$F:$F,'2-SESSIONS SCIAGE'!$I:$I,$A55,'2-SESSIONS SCIAGE'!$J:$J,$B55,'2-SESSIONS SCIAGE'!$C:$C,$C55,'2-SESSIONS SCIAGE'!$G:$G,"sciage un côté")+SUMIFS('2-SESSIONS SCIAGE'!$F:$F,'2-SESSIONS SCIAGE'!$I:$I,$A55,'2-SESSIONS SCIAGE'!$J:$J,$B55,'2-SESSIONS SCIAGE'!$C:$C,$C55,'2-SESSIONS SCIAGE'!$G:$G,"mauvaise épaisseur")+SUMIFS('2-SESSIONS SCIAGE'!$F:$F,'2-SESSIONS SCIAGE'!$I:$I,$A55,'2-SESSIONS SCIAGE'!$J:$J,$B55,'2-SESSIONS SCIAGE'!$C:$C,$C55,'2-SESSIONS SCIAGE'!$G:$G,"rayures")+SUMIFS('2-SESSIONS SCIAGE'!$F:$F,'2-SESSIONS SCIAGE'!$I:$I,$A55,'2-SESSIONS SCIAGE'!$J:$J,$B55,'2-SESSIONS SCIAGE'!$C:$C,$C55,'2-SESSIONS SCIAGE'!$G:$G,"deviation")</f>
        <v>92</v>
      </c>
      <c r="F55" s="13" t="str">
        <f>SUMIFS('2-SESSIONS SCIAGE'!$F:$F,'2-SESSIONS SCIAGE'!$I:$I,$A55,'2-SESSIONS SCIAGE'!$J:$J,$B55,'2-SESSIONS SCIAGE'!$C:$C,$C55,'2-SESSIONS SCIAGE'!$G:$G,"zéro")+SUMIFS('2-SESSIONS SCIAGE'!$F:$F,'2-SESSIONS SCIAGE'!$I:$I,$A55,'2-SESSIONS SCIAGE'!$J:$J,$B55,'2-SESSIONS SCIAGE'!$C:$C,$C55,'2-SESSIONS SCIAGE'!$G:$G,"panne mécanique")+SUMIFS('2-SESSIONS SCIAGE'!$F:$F,'2-SESSIONS SCIAGE'!$I:$I,$A55,'2-SESSIONS SCIAGE'!$J:$J,$B55,'2-SESSIONS SCIAGE'!$C:$C,$C55,'2-SESSIONS SCIAGE'!$G:$G,"panne électrique")</f>
        <v>0</v>
      </c>
      <c r="G55" s="13" t="str">
        <f>SUMIFS('3-CHANGEMENTS LAMES'!$F:$F,'3-CHANGEMENTS LAMES'!$H:$H,$A55,'3-CHANGEMENTS LAMES'!$I:$I,$B55,'3-CHANGEMENTS LAMES'!$C:$C,$C55)</f>
        <v>54</v>
      </c>
      <c r="H55" s="13" t="str">
        <f>SUMIFS('2-SESSIONS SCIAGE'!$H:$H,'2-SESSIONS SCIAGE'!$I:$I,$A55,'2-SESSIONS SCIAGE'!$J:$J,$B55,'2-SESSIONS SCIAGE'!$C:$C,$C55)</f>
        <v>5</v>
      </c>
      <c r="I55" s="41" t="str">
        <f t="shared" si="1"/>
        <v>59</v>
      </c>
      <c r="J55" s="41" t="str">
        <f t="shared" si="2"/>
        <v>489</v>
      </c>
    </row>
    <row r="56" ht="14.25" customHeight="1">
      <c r="A56" s="40">
        <v>46168.0</v>
      </c>
      <c r="B56" s="11" t="s">
        <v>106</v>
      </c>
      <c r="C56" s="11" t="s">
        <v>27</v>
      </c>
      <c r="D56" s="13" t="str">
        <f>SUMIFS('2-SESSIONS SCIAGE'!$F:$F,'2-SESSIONS SCIAGE'!$I:$I,$A56,'2-SESSIONS SCIAGE'!$J:$J,$B56,'2-SESSIONS SCIAGE'!$C:$C,$C56,'2-SESSIONS SCIAGE'!$G:$G,"ok")</f>
        <v>229</v>
      </c>
      <c r="E56" s="13" t="str">
        <f>SUMIFS('2-SESSIONS SCIAGE'!$F:$F,'2-SESSIONS SCIAGE'!$I:$I,$A56,'2-SESSIONS SCIAGE'!$J:$J,$B56,'2-SESSIONS SCIAGE'!$C:$C,$C56,'2-SESSIONS SCIAGE'!$G:$G,"sciage un côté")+SUMIFS('2-SESSIONS SCIAGE'!$F:$F,'2-SESSIONS SCIAGE'!$I:$I,$A56,'2-SESSIONS SCIAGE'!$J:$J,$B56,'2-SESSIONS SCIAGE'!$C:$C,$C56,'2-SESSIONS SCIAGE'!$G:$G,"mauvaise épaisseur")+SUMIFS('2-SESSIONS SCIAGE'!$F:$F,'2-SESSIONS SCIAGE'!$I:$I,$A56,'2-SESSIONS SCIAGE'!$J:$J,$B56,'2-SESSIONS SCIAGE'!$C:$C,$C56,'2-SESSIONS SCIAGE'!$G:$G,"rayures")+SUMIFS('2-SESSIONS SCIAGE'!$F:$F,'2-SESSIONS SCIAGE'!$I:$I,$A56,'2-SESSIONS SCIAGE'!$J:$J,$B56,'2-SESSIONS SCIAGE'!$C:$C,$C56,'2-SESSIONS SCIAGE'!$G:$G,"deviation")</f>
        <v>0</v>
      </c>
      <c r="F56" s="13" t="str">
        <f>SUMIFS('2-SESSIONS SCIAGE'!$F:$F,'2-SESSIONS SCIAGE'!$I:$I,$A56,'2-SESSIONS SCIAGE'!$J:$J,$B56,'2-SESSIONS SCIAGE'!$C:$C,$C56,'2-SESSIONS SCIAGE'!$G:$G,"zéro")+SUMIFS('2-SESSIONS SCIAGE'!$F:$F,'2-SESSIONS SCIAGE'!$I:$I,$A56,'2-SESSIONS SCIAGE'!$J:$J,$B56,'2-SESSIONS SCIAGE'!$C:$C,$C56,'2-SESSIONS SCIAGE'!$G:$G,"panne mécanique")+SUMIFS('2-SESSIONS SCIAGE'!$F:$F,'2-SESSIONS SCIAGE'!$I:$I,$A56,'2-SESSIONS SCIAGE'!$J:$J,$B56,'2-SESSIONS SCIAGE'!$C:$C,$C56,'2-SESSIONS SCIAGE'!$G:$G,"panne électrique")</f>
        <v>208</v>
      </c>
      <c r="G56" s="13" t="str">
        <f>SUMIFS('3-CHANGEMENTS LAMES'!$F:$F,'3-CHANGEMENTS LAMES'!$H:$H,$A56,'3-CHANGEMENTS LAMES'!$I:$I,$B56,'3-CHANGEMENTS LAMES'!$C:$C,$C56)</f>
        <v>43</v>
      </c>
      <c r="H56" s="13" t="str">
        <f>SUMIFS('2-SESSIONS SCIAGE'!$H:$H,'2-SESSIONS SCIAGE'!$I:$I,$A56,'2-SESSIONS SCIAGE'!$J:$J,$B56,'2-SESSIONS SCIAGE'!$C:$C,$C56)</f>
        <v>10</v>
      </c>
      <c r="I56" s="41" t="str">
        <f t="shared" si="1"/>
        <v>261</v>
      </c>
      <c r="J56" s="41" t="str">
        <f t="shared" si="2"/>
        <v>490</v>
      </c>
    </row>
    <row r="57" ht="14.25" customHeight="1">
      <c r="A57" s="40">
        <v>46168.0</v>
      </c>
      <c r="B57" s="11" t="s">
        <v>105</v>
      </c>
      <c r="C57" s="11" t="s">
        <v>27</v>
      </c>
      <c r="D57" s="13" t="str">
        <f>SUMIFS('2-SESSIONS SCIAGE'!$F:$F,'2-SESSIONS SCIAGE'!$I:$I,$A57,'2-SESSIONS SCIAGE'!$J:$J,$B57,'2-SESSIONS SCIAGE'!$C:$C,$C57,'2-SESSIONS SCIAGE'!$G:$G,"ok")</f>
        <v>253</v>
      </c>
      <c r="E57" s="13" t="str">
        <f>SUMIFS('2-SESSIONS SCIAGE'!$F:$F,'2-SESSIONS SCIAGE'!$I:$I,$A57,'2-SESSIONS SCIAGE'!$J:$J,$B57,'2-SESSIONS SCIAGE'!$C:$C,$C57,'2-SESSIONS SCIAGE'!$G:$G,"sciage un côté")+SUMIFS('2-SESSIONS SCIAGE'!$F:$F,'2-SESSIONS SCIAGE'!$I:$I,$A57,'2-SESSIONS SCIAGE'!$J:$J,$B57,'2-SESSIONS SCIAGE'!$C:$C,$C57,'2-SESSIONS SCIAGE'!$G:$G,"mauvaise épaisseur")+SUMIFS('2-SESSIONS SCIAGE'!$F:$F,'2-SESSIONS SCIAGE'!$I:$I,$A57,'2-SESSIONS SCIAGE'!$J:$J,$B57,'2-SESSIONS SCIAGE'!$C:$C,$C57,'2-SESSIONS SCIAGE'!$G:$G,"rayures")+SUMIFS('2-SESSIONS SCIAGE'!$F:$F,'2-SESSIONS SCIAGE'!$I:$I,$A57,'2-SESSIONS SCIAGE'!$J:$J,$B57,'2-SESSIONS SCIAGE'!$C:$C,$C57,'2-SESSIONS SCIAGE'!$G:$G,"deviation")</f>
        <v>0</v>
      </c>
      <c r="F57" s="13" t="str">
        <f>SUMIFS('2-SESSIONS SCIAGE'!$F:$F,'2-SESSIONS SCIAGE'!$I:$I,$A57,'2-SESSIONS SCIAGE'!$J:$J,$B57,'2-SESSIONS SCIAGE'!$C:$C,$C57,'2-SESSIONS SCIAGE'!$G:$G,"zéro")+SUMIFS('2-SESSIONS SCIAGE'!$F:$F,'2-SESSIONS SCIAGE'!$I:$I,$A57,'2-SESSIONS SCIAGE'!$J:$J,$B57,'2-SESSIONS SCIAGE'!$C:$C,$C57,'2-SESSIONS SCIAGE'!$G:$G,"panne mécanique")+SUMIFS('2-SESSIONS SCIAGE'!$F:$F,'2-SESSIONS SCIAGE'!$I:$I,$A57,'2-SESSIONS SCIAGE'!$J:$J,$B57,'2-SESSIONS SCIAGE'!$C:$C,$C57,'2-SESSIONS SCIAGE'!$G:$G,"panne électrique")</f>
        <v>0</v>
      </c>
      <c r="G57" s="13" t="str">
        <f>SUMIFS('3-CHANGEMENTS LAMES'!$F:$F,'3-CHANGEMENTS LAMES'!$H:$H,$A57,'3-CHANGEMENTS LAMES'!$I:$I,$B57,'3-CHANGEMENTS LAMES'!$C:$C,$C57)</f>
        <v>25</v>
      </c>
      <c r="H57" s="13" t="str">
        <f>SUMIFS('2-SESSIONS SCIAGE'!$H:$H,'2-SESSIONS SCIAGE'!$I:$I,$A57,'2-SESSIONS SCIAGE'!$J:$J,$B57,'2-SESSIONS SCIAGE'!$C:$C,$C57)</f>
        <v>0</v>
      </c>
      <c r="I57" s="41" t="str">
        <f t="shared" si="1"/>
        <v>25</v>
      </c>
      <c r="J57" s="41" t="str">
        <f t="shared" si="2"/>
        <v>278</v>
      </c>
    </row>
    <row r="58" ht="14.25" customHeight="1">
      <c r="A58" s="40">
        <v>46169.0</v>
      </c>
      <c r="B58" s="11" t="s">
        <v>106</v>
      </c>
      <c r="C58" s="11" t="s">
        <v>27</v>
      </c>
      <c r="D58" s="13" t="str">
        <f>SUMIFS('2-SESSIONS SCIAGE'!$F:$F,'2-SESSIONS SCIAGE'!$I:$I,$A58,'2-SESSIONS SCIAGE'!$J:$J,$B58,'2-SESSIONS SCIAGE'!$C:$C,$C58,'2-SESSIONS SCIAGE'!$G:$G,"ok")</f>
        <v>452</v>
      </c>
      <c r="E58" s="13" t="str">
        <f>SUMIFS('2-SESSIONS SCIAGE'!$F:$F,'2-SESSIONS SCIAGE'!$I:$I,$A58,'2-SESSIONS SCIAGE'!$J:$J,$B58,'2-SESSIONS SCIAGE'!$C:$C,$C58,'2-SESSIONS SCIAGE'!$G:$G,"sciage un côté")+SUMIFS('2-SESSIONS SCIAGE'!$F:$F,'2-SESSIONS SCIAGE'!$I:$I,$A58,'2-SESSIONS SCIAGE'!$J:$J,$B58,'2-SESSIONS SCIAGE'!$C:$C,$C58,'2-SESSIONS SCIAGE'!$G:$G,"mauvaise épaisseur")+SUMIFS('2-SESSIONS SCIAGE'!$F:$F,'2-SESSIONS SCIAGE'!$I:$I,$A58,'2-SESSIONS SCIAGE'!$J:$J,$B58,'2-SESSIONS SCIAGE'!$C:$C,$C58,'2-SESSIONS SCIAGE'!$G:$G,"rayures")+SUMIFS('2-SESSIONS SCIAGE'!$F:$F,'2-SESSIONS SCIAGE'!$I:$I,$A58,'2-SESSIONS SCIAGE'!$J:$J,$B58,'2-SESSIONS SCIAGE'!$C:$C,$C58,'2-SESSIONS SCIAGE'!$G:$G,"deviation")</f>
        <v>0</v>
      </c>
      <c r="F58" s="13" t="str">
        <f>SUMIFS('2-SESSIONS SCIAGE'!$F:$F,'2-SESSIONS SCIAGE'!$I:$I,$A58,'2-SESSIONS SCIAGE'!$J:$J,$B58,'2-SESSIONS SCIAGE'!$C:$C,$C58,'2-SESSIONS SCIAGE'!$G:$G,"zéro")+SUMIFS('2-SESSIONS SCIAGE'!$F:$F,'2-SESSIONS SCIAGE'!$I:$I,$A58,'2-SESSIONS SCIAGE'!$J:$J,$B58,'2-SESSIONS SCIAGE'!$C:$C,$C58,'2-SESSIONS SCIAGE'!$G:$G,"panne mécanique")+SUMIFS('2-SESSIONS SCIAGE'!$F:$F,'2-SESSIONS SCIAGE'!$I:$I,$A58,'2-SESSIONS SCIAGE'!$J:$J,$B58,'2-SESSIONS SCIAGE'!$C:$C,$C58,'2-SESSIONS SCIAGE'!$G:$G,"panne électrique")</f>
        <v>0</v>
      </c>
      <c r="G58" s="13" t="str">
        <f>SUMIFS('3-CHANGEMENTS LAMES'!$F:$F,'3-CHANGEMENTS LAMES'!$H:$H,$A58,'3-CHANGEMENTS LAMES'!$I:$I,$B58,'3-CHANGEMENTS LAMES'!$C:$C,$C58)</f>
        <v>28</v>
      </c>
      <c r="H58" s="13" t="str">
        <f>SUMIFS('2-SESSIONS SCIAGE'!$H:$H,'2-SESSIONS SCIAGE'!$I:$I,$A58,'2-SESSIONS SCIAGE'!$J:$J,$B58,'2-SESSIONS SCIAGE'!$C:$C,$C58)</f>
        <v>2</v>
      </c>
      <c r="I58" s="41" t="str">
        <f t="shared" si="1"/>
        <v>30</v>
      </c>
      <c r="J58" s="41" t="str">
        <f t="shared" si="2"/>
        <v>482</v>
      </c>
    </row>
    <row r="59" ht="14.25" customHeight="1">
      <c r="A59" s="40">
        <v>46169.0</v>
      </c>
      <c r="B59" s="11" t="s">
        <v>104</v>
      </c>
      <c r="C59" s="11" t="s">
        <v>27</v>
      </c>
      <c r="D59" s="13" t="str">
        <f>SUMIFS('2-SESSIONS SCIAGE'!$F:$F,'2-SESSIONS SCIAGE'!$I:$I,$A59,'2-SESSIONS SCIAGE'!$J:$J,$B59,'2-SESSIONS SCIAGE'!$C:$C,$C59,'2-SESSIONS SCIAGE'!$G:$G,"ok")</f>
        <v>672</v>
      </c>
      <c r="E59" s="13" t="str">
        <f>SUMIFS('2-SESSIONS SCIAGE'!$F:$F,'2-SESSIONS SCIAGE'!$I:$I,$A59,'2-SESSIONS SCIAGE'!$J:$J,$B59,'2-SESSIONS SCIAGE'!$C:$C,$C59,'2-SESSIONS SCIAGE'!$G:$G,"sciage un côté")+SUMIFS('2-SESSIONS SCIAGE'!$F:$F,'2-SESSIONS SCIAGE'!$I:$I,$A59,'2-SESSIONS SCIAGE'!$J:$J,$B59,'2-SESSIONS SCIAGE'!$C:$C,$C59,'2-SESSIONS SCIAGE'!$G:$G,"mauvaise épaisseur")+SUMIFS('2-SESSIONS SCIAGE'!$F:$F,'2-SESSIONS SCIAGE'!$I:$I,$A59,'2-SESSIONS SCIAGE'!$J:$J,$B59,'2-SESSIONS SCIAGE'!$C:$C,$C59,'2-SESSIONS SCIAGE'!$G:$G,"rayures")+SUMIFS('2-SESSIONS SCIAGE'!$F:$F,'2-SESSIONS SCIAGE'!$I:$I,$A59,'2-SESSIONS SCIAGE'!$J:$J,$B59,'2-SESSIONS SCIAGE'!$C:$C,$C59,'2-SESSIONS SCIAGE'!$G:$G,"deviation")</f>
        <v>140</v>
      </c>
      <c r="F59" s="13" t="str">
        <f>SUMIFS('2-SESSIONS SCIAGE'!$F:$F,'2-SESSIONS SCIAGE'!$I:$I,$A59,'2-SESSIONS SCIAGE'!$J:$J,$B59,'2-SESSIONS SCIAGE'!$C:$C,$C59,'2-SESSIONS SCIAGE'!$G:$G,"zéro")+SUMIFS('2-SESSIONS SCIAGE'!$F:$F,'2-SESSIONS SCIAGE'!$I:$I,$A59,'2-SESSIONS SCIAGE'!$J:$J,$B59,'2-SESSIONS SCIAGE'!$C:$C,$C59,'2-SESSIONS SCIAGE'!$G:$G,"panne mécanique")+SUMIFS('2-SESSIONS SCIAGE'!$F:$F,'2-SESSIONS SCIAGE'!$I:$I,$A59,'2-SESSIONS SCIAGE'!$J:$J,$B59,'2-SESSIONS SCIAGE'!$C:$C,$C59,'2-SESSIONS SCIAGE'!$G:$G,"panne électrique")</f>
        <v>0</v>
      </c>
      <c r="G59" s="13" t="str">
        <f>SUMIFS('3-CHANGEMENTS LAMES'!$F:$F,'3-CHANGEMENTS LAMES'!$H:$H,$A59,'3-CHANGEMENTS LAMES'!$I:$I,$B59,'3-CHANGEMENTS LAMES'!$C:$C,$C59)</f>
        <v>144</v>
      </c>
      <c r="H59" s="13" t="str">
        <f>SUMIFS('2-SESSIONS SCIAGE'!$H:$H,'2-SESSIONS SCIAGE'!$I:$I,$A59,'2-SESSIONS SCIAGE'!$J:$J,$B59,'2-SESSIONS SCIAGE'!$C:$C,$C59)</f>
        <v>4</v>
      </c>
      <c r="I59" s="41" t="str">
        <f t="shared" si="1"/>
        <v>148</v>
      </c>
      <c r="J59" s="41" t="str">
        <f t="shared" si="2"/>
        <v>960</v>
      </c>
    </row>
    <row r="60" ht="14.25" customHeight="1">
      <c r="A60" s="40">
        <v>46169.0</v>
      </c>
      <c r="B60" s="11" t="s">
        <v>105</v>
      </c>
      <c r="C60" s="11" t="s">
        <v>27</v>
      </c>
      <c r="D60" s="13" t="str">
        <f>SUMIFS('2-SESSIONS SCIAGE'!$F:$F,'2-SESSIONS SCIAGE'!$I:$I,$A60,'2-SESSIONS SCIAGE'!$J:$J,$B60,'2-SESSIONS SCIAGE'!$C:$C,$C60,'2-SESSIONS SCIAGE'!$G:$G,"ok")</f>
        <v>358</v>
      </c>
      <c r="E60" s="13" t="str">
        <f>SUMIFS('2-SESSIONS SCIAGE'!$F:$F,'2-SESSIONS SCIAGE'!$I:$I,$A60,'2-SESSIONS SCIAGE'!$J:$J,$B60,'2-SESSIONS SCIAGE'!$C:$C,$C60,'2-SESSIONS SCIAGE'!$G:$G,"sciage un côté")+SUMIFS('2-SESSIONS SCIAGE'!$F:$F,'2-SESSIONS SCIAGE'!$I:$I,$A60,'2-SESSIONS SCIAGE'!$J:$J,$B60,'2-SESSIONS SCIAGE'!$C:$C,$C60,'2-SESSIONS SCIAGE'!$G:$G,"mauvaise épaisseur")+SUMIFS('2-SESSIONS SCIAGE'!$F:$F,'2-SESSIONS SCIAGE'!$I:$I,$A60,'2-SESSIONS SCIAGE'!$J:$J,$B60,'2-SESSIONS SCIAGE'!$C:$C,$C60,'2-SESSIONS SCIAGE'!$G:$G,"rayures")+SUMIFS('2-SESSIONS SCIAGE'!$F:$F,'2-SESSIONS SCIAGE'!$I:$I,$A60,'2-SESSIONS SCIAGE'!$J:$J,$B60,'2-SESSIONS SCIAGE'!$C:$C,$C60,'2-SESSIONS SCIAGE'!$G:$G,"deviation")</f>
        <v>137</v>
      </c>
      <c r="F60" s="13" t="str">
        <f>SUMIFS('2-SESSIONS SCIAGE'!$F:$F,'2-SESSIONS SCIAGE'!$I:$I,$A60,'2-SESSIONS SCIAGE'!$J:$J,$B60,'2-SESSIONS SCIAGE'!$C:$C,$C60,'2-SESSIONS SCIAGE'!$G:$G,"zéro")+SUMIFS('2-SESSIONS SCIAGE'!$F:$F,'2-SESSIONS SCIAGE'!$I:$I,$A60,'2-SESSIONS SCIAGE'!$J:$J,$B60,'2-SESSIONS SCIAGE'!$C:$C,$C60,'2-SESSIONS SCIAGE'!$G:$G,"panne mécanique")+SUMIFS('2-SESSIONS SCIAGE'!$F:$F,'2-SESSIONS SCIAGE'!$I:$I,$A60,'2-SESSIONS SCIAGE'!$J:$J,$B60,'2-SESSIONS SCIAGE'!$C:$C,$C60,'2-SESSIONS SCIAGE'!$G:$G,"panne électrique")</f>
        <v>0</v>
      </c>
      <c r="G60" s="13" t="str">
        <f>SUMIFS('3-CHANGEMENTS LAMES'!$F:$F,'3-CHANGEMENTS LAMES'!$H:$H,$A60,'3-CHANGEMENTS LAMES'!$I:$I,$B60,'3-CHANGEMENTS LAMES'!$C:$C,$C60)</f>
        <v>107</v>
      </c>
      <c r="H60" s="13" t="str">
        <f>SUMIFS('2-SESSIONS SCIAGE'!$H:$H,'2-SESSIONS SCIAGE'!$I:$I,$A60,'2-SESSIONS SCIAGE'!$J:$J,$B60,'2-SESSIONS SCIAGE'!$C:$C,$C60)</f>
        <v>19</v>
      </c>
      <c r="I60" s="41" t="str">
        <f t="shared" si="1"/>
        <v>126</v>
      </c>
      <c r="J60" s="41" t="str">
        <f t="shared" si="2"/>
        <v>621</v>
      </c>
    </row>
    <row r="61" ht="14.25" customHeight="1">
      <c r="A61" s="40">
        <v>46170.0</v>
      </c>
      <c r="B61" s="11" t="s">
        <v>106</v>
      </c>
      <c r="C61" s="11" t="s">
        <v>27</v>
      </c>
      <c r="D61" s="13" t="str">
        <f>SUMIFS('2-SESSIONS SCIAGE'!$F:$F,'2-SESSIONS SCIAGE'!$I:$I,$A61,'2-SESSIONS SCIAGE'!$J:$J,$B61,'2-SESSIONS SCIAGE'!$C:$C,$C61,'2-SESSIONS SCIAGE'!$G:$G,"ok")</f>
        <v>405</v>
      </c>
      <c r="E61" s="13" t="str">
        <f>SUMIFS('2-SESSIONS SCIAGE'!$F:$F,'2-SESSIONS SCIAGE'!$I:$I,$A61,'2-SESSIONS SCIAGE'!$J:$J,$B61,'2-SESSIONS SCIAGE'!$C:$C,$C61,'2-SESSIONS SCIAGE'!$G:$G,"sciage un côté")+SUMIFS('2-SESSIONS SCIAGE'!$F:$F,'2-SESSIONS SCIAGE'!$I:$I,$A61,'2-SESSIONS SCIAGE'!$J:$J,$B61,'2-SESSIONS SCIAGE'!$C:$C,$C61,'2-SESSIONS SCIAGE'!$G:$G,"mauvaise épaisseur")+SUMIFS('2-SESSIONS SCIAGE'!$F:$F,'2-SESSIONS SCIAGE'!$I:$I,$A61,'2-SESSIONS SCIAGE'!$J:$J,$B61,'2-SESSIONS SCIAGE'!$C:$C,$C61,'2-SESSIONS SCIAGE'!$G:$G,"rayures")+SUMIFS('2-SESSIONS SCIAGE'!$F:$F,'2-SESSIONS SCIAGE'!$I:$I,$A61,'2-SESSIONS SCIAGE'!$J:$J,$B61,'2-SESSIONS SCIAGE'!$C:$C,$C61,'2-SESSIONS SCIAGE'!$G:$G,"deviation")</f>
        <v>0</v>
      </c>
      <c r="F61" s="13" t="str">
        <f>SUMIFS('2-SESSIONS SCIAGE'!$F:$F,'2-SESSIONS SCIAGE'!$I:$I,$A61,'2-SESSIONS SCIAGE'!$J:$J,$B61,'2-SESSIONS SCIAGE'!$C:$C,$C61,'2-SESSIONS SCIAGE'!$G:$G,"zéro")+SUMIFS('2-SESSIONS SCIAGE'!$F:$F,'2-SESSIONS SCIAGE'!$I:$I,$A61,'2-SESSIONS SCIAGE'!$J:$J,$B61,'2-SESSIONS SCIAGE'!$C:$C,$C61,'2-SESSIONS SCIAGE'!$G:$G,"panne mécanique")+SUMIFS('2-SESSIONS SCIAGE'!$F:$F,'2-SESSIONS SCIAGE'!$I:$I,$A61,'2-SESSIONS SCIAGE'!$J:$J,$B61,'2-SESSIONS SCIAGE'!$C:$C,$C61,'2-SESSIONS SCIAGE'!$G:$G,"panne électrique")</f>
        <v>21</v>
      </c>
      <c r="G61" s="13" t="str">
        <f>SUMIFS('3-CHANGEMENTS LAMES'!$F:$F,'3-CHANGEMENTS LAMES'!$H:$H,$A61,'3-CHANGEMENTS LAMES'!$I:$I,$B61,'3-CHANGEMENTS LAMES'!$C:$C,$C61)</f>
        <v>54</v>
      </c>
      <c r="H61" s="13" t="str">
        <f>SUMIFS('2-SESSIONS SCIAGE'!$H:$H,'2-SESSIONS SCIAGE'!$I:$I,$A61,'2-SESSIONS SCIAGE'!$J:$J,$B61,'2-SESSIONS SCIAGE'!$C:$C,$C61)</f>
        <v>10</v>
      </c>
      <c r="I61" s="41" t="str">
        <f t="shared" si="1"/>
        <v>85</v>
      </c>
      <c r="J61" s="41" t="str">
        <f t="shared" si="2"/>
        <v>490</v>
      </c>
    </row>
    <row r="62" ht="14.25" customHeight="1">
      <c r="A62" s="40">
        <v>46170.0</v>
      </c>
      <c r="B62" s="11" t="s">
        <v>104</v>
      </c>
      <c r="C62" s="11" t="s">
        <v>27</v>
      </c>
      <c r="D62" s="13" t="str">
        <f>SUMIFS('2-SESSIONS SCIAGE'!$F:$F,'2-SESSIONS SCIAGE'!$I:$I,$A62,'2-SESSIONS SCIAGE'!$J:$J,$B62,'2-SESSIONS SCIAGE'!$C:$C,$C62,'2-SESSIONS SCIAGE'!$G:$G,"ok")</f>
        <v>268</v>
      </c>
      <c r="E62" s="13" t="str">
        <f>SUMIFS('2-SESSIONS SCIAGE'!$F:$F,'2-SESSIONS SCIAGE'!$I:$I,$A62,'2-SESSIONS SCIAGE'!$J:$J,$B62,'2-SESSIONS SCIAGE'!$C:$C,$C62,'2-SESSIONS SCIAGE'!$G:$G,"sciage un côté")+SUMIFS('2-SESSIONS SCIAGE'!$F:$F,'2-SESSIONS SCIAGE'!$I:$I,$A62,'2-SESSIONS SCIAGE'!$J:$J,$B62,'2-SESSIONS SCIAGE'!$C:$C,$C62,'2-SESSIONS SCIAGE'!$G:$G,"mauvaise épaisseur")+SUMIFS('2-SESSIONS SCIAGE'!$F:$F,'2-SESSIONS SCIAGE'!$I:$I,$A62,'2-SESSIONS SCIAGE'!$J:$J,$B62,'2-SESSIONS SCIAGE'!$C:$C,$C62,'2-SESSIONS SCIAGE'!$G:$G,"rayures")+SUMIFS('2-SESSIONS SCIAGE'!$F:$F,'2-SESSIONS SCIAGE'!$I:$I,$A62,'2-SESSIONS SCIAGE'!$J:$J,$B62,'2-SESSIONS SCIAGE'!$C:$C,$C62,'2-SESSIONS SCIAGE'!$G:$G,"deviation")</f>
        <v>146</v>
      </c>
      <c r="F62" s="13" t="str">
        <f>SUMIFS('2-SESSIONS SCIAGE'!$F:$F,'2-SESSIONS SCIAGE'!$I:$I,$A62,'2-SESSIONS SCIAGE'!$J:$J,$B62,'2-SESSIONS SCIAGE'!$C:$C,$C62,'2-SESSIONS SCIAGE'!$G:$G,"zéro")+SUMIFS('2-SESSIONS SCIAGE'!$F:$F,'2-SESSIONS SCIAGE'!$I:$I,$A62,'2-SESSIONS SCIAGE'!$J:$J,$B62,'2-SESSIONS SCIAGE'!$C:$C,$C62,'2-SESSIONS SCIAGE'!$G:$G,"panne mécanique")+SUMIFS('2-SESSIONS SCIAGE'!$F:$F,'2-SESSIONS SCIAGE'!$I:$I,$A62,'2-SESSIONS SCIAGE'!$J:$J,$B62,'2-SESSIONS SCIAGE'!$C:$C,$C62,'2-SESSIONS SCIAGE'!$G:$G,"panne électrique")</f>
        <v>54</v>
      </c>
      <c r="G62" s="13" t="str">
        <f>SUMIFS('3-CHANGEMENTS LAMES'!$F:$F,'3-CHANGEMENTS LAMES'!$H:$H,$A62,'3-CHANGEMENTS LAMES'!$I:$I,$B62,'3-CHANGEMENTS LAMES'!$C:$C,$C62)</f>
        <v>39</v>
      </c>
      <c r="H62" s="13" t="str">
        <f>SUMIFS('2-SESSIONS SCIAGE'!$H:$H,'2-SESSIONS SCIAGE'!$I:$I,$A62,'2-SESSIONS SCIAGE'!$J:$J,$B62,'2-SESSIONS SCIAGE'!$C:$C,$C62)</f>
        <v>5</v>
      </c>
      <c r="I62" s="41" t="str">
        <f t="shared" si="1"/>
        <v>98</v>
      </c>
      <c r="J62" s="41" t="str">
        <f t="shared" si="2"/>
        <v>512</v>
      </c>
    </row>
    <row r="63" ht="14.25" customHeight="1">
      <c r="A63" s="40">
        <v>46170.0</v>
      </c>
      <c r="B63" s="11" t="s">
        <v>105</v>
      </c>
      <c r="C63" s="11" t="s">
        <v>27</v>
      </c>
      <c r="D63" s="13" t="str">
        <f>SUMIFS('2-SESSIONS SCIAGE'!$F:$F,'2-SESSIONS SCIAGE'!$I:$I,$A63,'2-SESSIONS SCIAGE'!$J:$J,$B63,'2-SESSIONS SCIAGE'!$C:$C,$C63,'2-SESSIONS SCIAGE'!$G:$G,"ok")</f>
        <v>277</v>
      </c>
      <c r="E63" s="13" t="str">
        <f>SUMIFS('2-SESSIONS SCIAGE'!$F:$F,'2-SESSIONS SCIAGE'!$I:$I,$A63,'2-SESSIONS SCIAGE'!$J:$J,$B63,'2-SESSIONS SCIAGE'!$C:$C,$C63,'2-SESSIONS SCIAGE'!$G:$G,"sciage un côté")+SUMIFS('2-SESSIONS SCIAGE'!$F:$F,'2-SESSIONS SCIAGE'!$I:$I,$A63,'2-SESSIONS SCIAGE'!$J:$J,$B63,'2-SESSIONS SCIAGE'!$C:$C,$C63,'2-SESSIONS SCIAGE'!$G:$G,"mauvaise épaisseur")+SUMIFS('2-SESSIONS SCIAGE'!$F:$F,'2-SESSIONS SCIAGE'!$I:$I,$A63,'2-SESSIONS SCIAGE'!$J:$J,$B63,'2-SESSIONS SCIAGE'!$C:$C,$C63,'2-SESSIONS SCIAGE'!$G:$G,"rayures")+SUMIFS('2-SESSIONS SCIAGE'!$F:$F,'2-SESSIONS SCIAGE'!$I:$I,$A63,'2-SESSIONS SCIAGE'!$J:$J,$B63,'2-SESSIONS SCIAGE'!$C:$C,$C63,'2-SESSIONS SCIAGE'!$G:$G,"deviation")</f>
        <v>122</v>
      </c>
      <c r="F63" s="13" t="str">
        <f>SUMIFS('2-SESSIONS SCIAGE'!$F:$F,'2-SESSIONS SCIAGE'!$I:$I,$A63,'2-SESSIONS SCIAGE'!$J:$J,$B63,'2-SESSIONS SCIAGE'!$C:$C,$C63,'2-SESSIONS SCIAGE'!$G:$G,"zéro")+SUMIFS('2-SESSIONS SCIAGE'!$F:$F,'2-SESSIONS SCIAGE'!$I:$I,$A63,'2-SESSIONS SCIAGE'!$J:$J,$B63,'2-SESSIONS SCIAGE'!$C:$C,$C63,'2-SESSIONS SCIAGE'!$G:$G,"panne mécanique")+SUMIFS('2-SESSIONS SCIAGE'!$F:$F,'2-SESSIONS SCIAGE'!$I:$I,$A63,'2-SESSIONS SCIAGE'!$J:$J,$B63,'2-SESSIONS SCIAGE'!$C:$C,$C63,'2-SESSIONS SCIAGE'!$G:$G,"panne électrique")</f>
        <v>0</v>
      </c>
      <c r="G63" s="13" t="str">
        <f>SUMIFS('3-CHANGEMENTS LAMES'!$F:$F,'3-CHANGEMENTS LAMES'!$H:$H,$A63,'3-CHANGEMENTS LAMES'!$I:$I,$B63,'3-CHANGEMENTS LAMES'!$C:$C,$C63)</f>
        <v>76</v>
      </c>
      <c r="H63" s="13" t="str">
        <f>SUMIFS('2-SESSIONS SCIAGE'!$H:$H,'2-SESSIONS SCIAGE'!$I:$I,$A63,'2-SESSIONS SCIAGE'!$J:$J,$B63,'2-SESSIONS SCIAGE'!$C:$C,$C63)</f>
        <v>0</v>
      </c>
      <c r="I63" s="41" t="str">
        <f t="shared" si="1"/>
        <v>76</v>
      </c>
      <c r="J63" s="41" t="str">
        <f t="shared" si="2"/>
        <v>475</v>
      </c>
    </row>
    <row r="64" ht="14.25" customHeight="1">
      <c r="A64" s="40">
        <v>46171.0</v>
      </c>
      <c r="B64" s="11" t="s">
        <v>106</v>
      </c>
      <c r="C64" s="11" t="s">
        <v>27</v>
      </c>
      <c r="D64" s="13" t="str">
        <f>SUMIFS('2-SESSIONS SCIAGE'!$F:$F,'2-SESSIONS SCIAGE'!$I:$I,$A64,'2-SESSIONS SCIAGE'!$J:$J,$B64,'2-SESSIONS SCIAGE'!$C:$C,$C64,'2-SESSIONS SCIAGE'!$G:$G,"ok")</f>
        <v>112</v>
      </c>
      <c r="E64" s="13" t="str">
        <f>SUMIFS('2-SESSIONS SCIAGE'!$F:$F,'2-SESSIONS SCIAGE'!$I:$I,$A64,'2-SESSIONS SCIAGE'!$J:$J,$B64,'2-SESSIONS SCIAGE'!$C:$C,$C64,'2-SESSIONS SCIAGE'!$G:$G,"sciage un côté")+SUMIFS('2-SESSIONS SCIAGE'!$F:$F,'2-SESSIONS SCIAGE'!$I:$I,$A64,'2-SESSIONS SCIAGE'!$J:$J,$B64,'2-SESSIONS SCIAGE'!$C:$C,$C64,'2-SESSIONS SCIAGE'!$G:$G,"mauvaise épaisseur")+SUMIFS('2-SESSIONS SCIAGE'!$F:$F,'2-SESSIONS SCIAGE'!$I:$I,$A64,'2-SESSIONS SCIAGE'!$J:$J,$B64,'2-SESSIONS SCIAGE'!$C:$C,$C64,'2-SESSIONS SCIAGE'!$G:$G,"rayures")+SUMIFS('2-SESSIONS SCIAGE'!$F:$F,'2-SESSIONS SCIAGE'!$I:$I,$A64,'2-SESSIONS SCIAGE'!$J:$J,$B64,'2-SESSIONS SCIAGE'!$C:$C,$C64,'2-SESSIONS SCIAGE'!$G:$G,"deviation")</f>
        <v>0</v>
      </c>
      <c r="F64" s="13" t="str">
        <f>SUMIFS('2-SESSIONS SCIAGE'!$F:$F,'2-SESSIONS SCIAGE'!$I:$I,$A64,'2-SESSIONS SCIAGE'!$J:$J,$B64,'2-SESSIONS SCIAGE'!$C:$C,$C64,'2-SESSIONS SCIAGE'!$G:$G,"zéro")+SUMIFS('2-SESSIONS SCIAGE'!$F:$F,'2-SESSIONS SCIAGE'!$I:$I,$A64,'2-SESSIONS SCIAGE'!$J:$J,$B64,'2-SESSIONS SCIAGE'!$C:$C,$C64,'2-SESSIONS SCIAGE'!$G:$G,"panne mécanique")+SUMIFS('2-SESSIONS SCIAGE'!$F:$F,'2-SESSIONS SCIAGE'!$I:$I,$A64,'2-SESSIONS SCIAGE'!$J:$J,$B64,'2-SESSIONS SCIAGE'!$C:$C,$C64,'2-SESSIONS SCIAGE'!$G:$G,"panne électrique")</f>
        <v>157</v>
      </c>
      <c r="G64" s="13" t="str">
        <f>SUMIFS('3-CHANGEMENTS LAMES'!$F:$F,'3-CHANGEMENTS LAMES'!$H:$H,$A64,'3-CHANGEMENTS LAMES'!$I:$I,$B64,'3-CHANGEMENTS LAMES'!$C:$C,$C64)</f>
        <v>0</v>
      </c>
      <c r="H64" s="13" t="str">
        <f>SUMIFS('2-SESSIONS SCIAGE'!$H:$H,'2-SESSIONS SCIAGE'!$I:$I,$A64,'2-SESSIONS SCIAGE'!$J:$J,$B64,'2-SESSIONS SCIAGE'!$C:$C,$C64)</f>
        <v>0</v>
      </c>
      <c r="I64" s="41" t="str">
        <f t="shared" si="1"/>
        <v>157</v>
      </c>
      <c r="J64" s="41" t="str">
        <f t="shared" si="2"/>
        <v>269</v>
      </c>
    </row>
    <row r="65" ht="14.25" customHeight="1">
      <c r="A65" s="40">
        <v>46171.0</v>
      </c>
      <c r="B65" s="11" t="s">
        <v>104</v>
      </c>
      <c r="C65" s="11" t="s">
        <v>27</v>
      </c>
      <c r="D65" s="13" t="str">
        <f>SUMIFS('2-SESSIONS SCIAGE'!$F:$F,'2-SESSIONS SCIAGE'!$I:$I,$A65,'2-SESSIONS SCIAGE'!$J:$J,$B65,'2-SESSIONS SCIAGE'!$C:$C,$C65,'2-SESSIONS SCIAGE'!$G:$G,"ok")</f>
        <v>401</v>
      </c>
      <c r="E65" s="13" t="str">
        <f>SUMIFS('2-SESSIONS SCIAGE'!$F:$F,'2-SESSIONS SCIAGE'!$I:$I,$A65,'2-SESSIONS SCIAGE'!$J:$J,$B65,'2-SESSIONS SCIAGE'!$C:$C,$C65,'2-SESSIONS SCIAGE'!$G:$G,"sciage un côté")+SUMIFS('2-SESSIONS SCIAGE'!$F:$F,'2-SESSIONS SCIAGE'!$I:$I,$A65,'2-SESSIONS SCIAGE'!$J:$J,$B65,'2-SESSIONS SCIAGE'!$C:$C,$C65,'2-SESSIONS SCIAGE'!$G:$G,"mauvaise épaisseur")+SUMIFS('2-SESSIONS SCIAGE'!$F:$F,'2-SESSIONS SCIAGE'!$I:$I,$A65,'2-SESSIONS SCIAGE'!$J:$J,$B65,'2-SESSIONS SCIAGE'!$C:$C,$C65,'2-SESSIONS SCIAGE'!$G:$G,"rayures")+SUMIFS('2-SESSIONS SCIAGE'!$F:$F,'2-SESSIONS SCIAGE'!$I:$I,$A65,'2-SESSIONS SCIAGE'!$J:$J,$B65,'2-SESSIONS SCIAGE'!$C:$C,$C65,'2-SESSIONS SCIAGE'!$G:$G,"deviation")</f>
        <v>50</v>
      </c>
      <c r="F65" s="13" t="str">
        <f>SUMIFS('2-SESSIONS SCIAGE'!$F:$F,'2-SESSIONS SCIAGE'!$I:$I,$A65,'2-SESSIONS SCIAGE'!$J:$J,$B65,'2-SESSIONS SCIAGE'!$C:$C,$C65,'2-SESSIONS SCIAGE'!$G:$G,"zéro")+SUMIFS('2-SESSIONS SCIAGE'!$F:$F,'2-SESSIONS SCIAGE'!$I:$I,$A65,'2-SESSIONS SCIAGE'!$J:$J,$B65,'2-SESSIONS SCIAGE'!$C:$C,$C65,'2-SESSIONS SCIAGE'!$G:$G,"panne mécanique")+SUMIFS('2-SESSIONS SCIAGE'!$F:$F,'2-SESSIONS SCIAGE'!$I:$I,$A65,'2-SESSIONS SCIAGE'!$J:$J,$B65,'2-SESSIONS SCIAGE'!$C:$C,$C65,'2-SESSIONS SCIAGE'!$G:$G,"panne électrique")</f>
        <v>0</v>
      </c>
      <c r="G65" s="13" t="str">
        <f>SUMIFS('3-CHANGEMENTS LAMES'!$F:$F,'3-CHANGEMENTS LAMES'!$H:$H,$A65,'3-CHANGEMENTS LAMES'!$I:$I,$B65,'3-CHANGEMENTS LAMES'!$C:$C,$C65)</f>
        <v>29</v>
      </c>
      <c r="H65" s="13" t="str">
        <f>SUMIFS('2-SESSIONS SCIAGE'!$H:$H,'2-SESSIONS SCIAGE'!$I:$I,$A65,'2-SESSIONS SCIAGE'!$J:$J,$B65,'2-SESSIONS SCIAGE'!$C:$C,$C65)</f>
        <v>10</v>
      </c>
      <c r="I65" s="41" t="str">
        <f t="shared" si="1"/>
        <v>39</v>
      </c>
      <c r="J65" s="41" t="str">
        <f t="shared" si="2"/>
        <v>490</v>
      </c>
    </row>
    <row r="66" ht="14.25" customHeight="1">
      <c r="A66" s="40">
        <v>46171.0</v>
      </c>
      <c r="B66" s="11" t="s">
        <v>105</v>
      </c>
      <c r="C66" s="11" t="s">
        <v>27</v>
      </c>
      <c r="D66" s="13" t="str">
        <f>SUMIFS('2-SESSIONS SCIAGE'!$F:$F,'2-SESSIONS SCIAGE'!$I:$I,$A66,'2-SESSIONS SCIAGE'!$J:$J,$B66,'2-SESSIONS SCIAGE'!$C:$C,$C66,'2-SESSIONS SCIAGE'!$G:$G,"ok")</f>
        <v>301</v>
      </c>
      <c r="E66" s="13" t="str">
        <f>SUMIFS('2-SESSIONS SCIAGE'!$F:$F,'2-SESSIONS SCIAGE'!$I:$I,$A66,'2-SESSIONS SCIAGE'!$J:$J,$B66,'2-SESSIONS SCIAGE'!$C:$C,$C66,'2-SESSIONS SCIAGE'!$G:$G,"sciage un côté")+SUMIFS('2-SESSIONS SCIAGE'!$F:$F,'2-SESSIONS SCIAGE'!$I:$I,$A66,'2-SESSIONS SCIAGE'!$J:$J,$B66,'2-SESSIONS SCIAGE'!$C:$C,$C66,'2-SESSIONS SCIAGE'!$G:$G,"mauvaise épaisseur")+SUMIFS('2-SESSIONS SCIAGE'!$F:$F,'2-SESSIONS SCIAGE'!$I:$I,$A66,'2-SESSIONS SCIAGE'!$J:$J,$B66,'2-SESSIONS SCIAGE'!$C:$C,$C66,'2-SESSIONS SCIAGE'!$G:$G,"rayures")+SUMIFS('2-SESSIONS SCIAGE'!$F:$F,'2-SESSIONS SCIAGE'!$I:$I,$A66,'2-SESSIONS SCIAGE'!$J:$J,$B66,'2-SESSIONS SCIAGE'!$C:$C,$C66,'2-SESSIONS SCIAGE'!$G:$G,"deviation")</f>
        <v>117</v>
      </c>
      <c r="F66" s="13" t="str">
        <f>SUMIFS('2-SESSIONS SCIAGE'!$F:$F,'2-SESSIONS SCIAGE'!$I:$I,$A66,'2-SESSIONS SCIAGE'!$J:$J,$B66,'2-SESSIONS SCIAGE'!$C:$C,$C66,'2-SESSIONS SCIAGE'!$G:$G,"zéro")+SUMIFS('2-SESSIONS SCIAGE'!$F:$F,'2-SESSIONS SCIAGE'!$I:$I,$A66,'2-SESSIONS SCIAGE'!$J:$J,$B66,'2-SESSIONS SCIAGE'!$C:$C,$C66,'2-SESSIONS SCIAGE'!$G:$G,"panne mécanique")+SUMIFS('2-SESSIONS SCIAGE'!$F:$F,'2-SESSIONS SCIAGE'!$I:$I,$A66,'2-SESSIONS SCIAGE'!$J:$J,$B66,'2-SESSIONS SCIAGE'!$C:$C,$C66,'2-SESSIONS SCIAGE'!$G:$G,"panne électrique")</f>
        <v>0</v>
      </c>
      <c r="G66" s="13" t="str">
        <f>SUMIFS('3-CHANGEMENTS LAMES'!$F:$F,'3-CHANGEMENTS LAMES'!$H:$H,$A66,'3-CHANGEMENTS LAMES'!$I:$I,$B66,'3-CHANGEMENTS LAMES'!$C:$C,$C66)</f>
        <v>49</v>
      </c>
      <c r="H66" s="13" t="str">
        <f>SUMIFS('2-SESSIONS SCIAGE'!$H:$H,'2-SESSIONS SCIAGE'!$I:$I,$A66,'2-SESSIONS SCIAGE'!$J:$J,$B66,'2-SESSIONS SCIAGE'!$C:$C,$C66)</f>
        <v>0</v>
      </c>
      <c r="I66" s="41" t="str">
        <f t="shared" si="1"/>
        <v>49</v>
      </c>
      <c r="J66" s="41" t="str">
        <f t="shared" si="2"/>
        <v>467</v>
      </c>
    </row>
    <row r="67" ht="14.25" customHeight="1">
      <c r="A67" s="40">
        <v>46172.0</v>
      </c>
      <c r="B67" s="11" t="s">
        <v>106</v>
      </c>
      <c r="C67" s="11" t="s">
        <v>27</v>
      </c>
      <c r="D67" s="13" t="str">
        <f>SUMIFS('2-SESSIONS SCIAGE'!$F:$F,'2-SESSIONS SCIAGE'!$I:$I,$A67,'2-SESSIONS SCIAGE'!$J:$J,$B67,'2-SESSIONS SCIAGE'!$C:$C,$C67,'2-SESSIONS SCIAGE'!$G:$G,"ok")</f>
        <v>128</v>
      </c>
      <c r="E67" s="13" t="str">
        <f>SUMIFS('2-SESSIONS SCIAGE'!$F:$F,'2-SESSIONS SCIAGE'!$I:$I,$A67,'2-SESSIONS SCIAGE'!$J:$J,$B67,'2-SESSIONS SCIAGE'!$C:$C,$C67,'2-SESSIONS SCIAGE'!$G:$G,"sciage un côté")+SUMIFS('2-SESSIONS SCIAGE'!$F:$F,'2-SESSIONS SCIAGE'!$I:$I,$A67,'2-SESSIONS SCIAGE'!$J:$J,$B67,'2-SESSIONS SCIAGE'!$C:$C,$C67,'2-SESSIONS SCIAGE'!$G:$G,"mauvaise épaisseur")+SUMIFS('2-SESSIONS SCIAGE'!$F:$F,'2-SESSIONS SCIAGE'!$I:$I,$A67,'2-SESSIONS SCIAGE'!$J:$J,$B67,'2-SESSIONS SCIAGE'!$C:$C,$C67,'2-SESSIONS SCIAGE'!$G:$G,"rayures")+SUMIFS('2-SESSIONS SCIAGE'!$F:$F,'2-SESSIONS SCIAGE'!$I:$I,$A67,'2-SESSIONS SCIAGE'!$J:$J,$B67,'2-SESSIONS SCIAGE'!$C:$C,$C67,'2-SESSIONS SCIAGE'!$G:$G,"deviation")</f>
        <v>76</v>
      </c>
      <c r="F67" s="13" t="str">
        <f>SUMIFS('2-SESSIONS SCIAGE'!$F:$F,'2-SESSIONS SCIAGE'!$I:$I,$A67,'2-SESSIONS SCIAGE'!$J:$J,$B67,'2-SESSIONS SCIAGE'!$C:$C,$C67,'2-SESSIONS SCIAGE'!$G:$G,"zéro")+SUMIFS('2-SESSIONS SCIAGE'!$F:$F,'2-SESSIONS SCIAGE'!$I:$I,$A67,'2-SESSIONS SCIAGE'!$J:$J,$B67,'2-SESSIONS SCIAGE'!$C:$C,$C67,'2-SESSIONS SCIAGE'!$G:$G,"panne mécanique")+SUMIFS('2-SESSIONS SCIAGE'!$F:$F,'2-SESSIONS SCIAGE'!$I:$I,$A67,'2-SESSIONS SCIAGE'!$J:$J,$B67,'2-SESSIONS SCIAGE'!$C:$C,$C67,'2-SESSIONS SCIAGE'!$G:$G,"panne électrique")</f>
        <v>220</v>
      </c>
      <c r="G67" s="13" t="str">
        <f>SUMIFS('3-CHANGEMENTS LAMES'!$F:$F,'3-CHANGEMENTS LAMES'!$H:$H,$A67,'3-CHANGEMENTS LAMES'!$I:$I,$B67,'3-CHANGEMENTS LAMES'!$C:$C,$C67)</f>
        <v>56</v>
      </c>
      <c r="H67" s="13" t="str">
        <f>SUMIFS('2-SESSIONS SCIAGE'!$H:$H,'2-SESSIONS SCIAGE'!$I:$I,$A67,'2-SESSIONS SCIAGE'!$J:$J,$B67,'2-SESSIONS SCIAGE'!$C:$C,$C67)</f>
        <v>0</v>
      </c>
      <c r="I67" s="41" t="str">
        <f t="shared" si="1"/>
        <v>276</v>
      </c>
      <c r="J67" s="41" t="str">
        <f t="shared" si="2"/>
        <v>480</v>
      </c>
    </row>
    <row r="68" ht="14.25" customHeight="1">
      <c r="A68" s="40">
        <v>46172.0</v>
      </c>
      <c r="B68" s="11" t="s">
        <v>104</v>
      </c>
      <c r="C68" s="11" t="s">
        <v>27</v>
      </c>
      <c r="D68" s="13" t="str">
        <f>SUMIFS('2-SESSIONS SCIAGE'!$F:$F,'2-SESSIONS SCIAGE'!$I:$I,$A68,'2-SESSIONS SCIAGE'!$J:$J,$B68,'2-SESSIONS SCIAGE'!$C:$C,$C68,'2-SESSIONS SCIAGE'!$G:$G,"ok")</f>
        <v>373</v>
      </c>
      <c r="E68" s="13" t="str">
        <f>SUMIFS('2-SESSIONS SCIAGE'!$F:$F,'2-SESSIONS SCIAGE'!$I:$I,$A68,'2-SESSIONS SCIAGE'!$J:$J,$B68,'2-SESSIONS SCIAGE'!$C:$C,$C68,'2-SESSIONS SCIAGE'!$G:$G,"sciage un côté")+SUMIFS('2-SESSIONS SCIAGE'!$F:$F,'2-SESSIONS SCIAGE'!$I:$I,$A68,'2-SESSIONS SCIAGE'!$J:$J,$B68,'2-SESSIONS SCIAGE'!$C:$C,$C68,'2-SESSIONS SCIAGE'!$G:$G,"mauvaise épaisseur")+SUMIFS('2-SESSIONS SCIAGE'!$F:$F,'2-SESSIONS SCIAGE'!$I:$I,$A68,'2-SESSIONS SCIAGE'!$J:$J,$B68,'2-SESSIONS SCIAGE'!$C:$C,$C68,'2-SESSIONS SCIAGE'!$G:$G,"rayures")+SUMIFS('2-SESSIONS SCIAGE'!$F:$F,'2-SESSIONS SCIAGE'!$I:$I,$A68,'2-SESSIONS SCIAGE'!$J:$J,$B68,'2-SESSIONS SCIAGE'!$C:$C,$C68,'2-SESSIONS SCIAGE'!$G:$G,"deviation")</f>
        <v>78</v>
      </c>
      <c r="F68" s="13" t="str">
        <f>SUMIFS('2-SESSIONS SCIAGE'!$F:$F,'2-SESSIONS SCIAGE'!$I:$I,$A68,'2-SESSIONS SCIAGE'!$J:$J,$B68,'2-SESSIONS SCIAGE'!$C:$C,$C68,'2-SESSIONS SCIAGE'!$G:$G,"zéro")+SUMIFS('2-SESSIONS SCIAGE'!$F:$F,'2-SESSIONS SCIAGE'!$I:$I,$A68,'2-SESSIONS SCIAGE'!$J:$J,$B68,'2-SESSIONS SCIAGE'!$C:$C,$C68,'2-SESSIONS SCIAGE'!$G:$G,"panne mécanique")+SUMIFS('2-SESSIONS SCIAGE'!$F:$F,'2-SESSIONS SCIAGE'!$I:$I,$A68,'2-SESSIONS SCIAGE'!$J:$J,$B68,'2-SESSIONS SCIAGE'!$C:$C,$C68,'2-SESSIONS SCIAGE'!$G:$G,"panne électrique")</f>
        <v>0</v>
      </c>
      <c r="G68" s="13" t="str">
        <f>SUMIFS('3-CHANGEMENTS LAMES'!$F:$F,'3-CHANGEMENTS LAMES'!$H:$H,$A68,'3-CHANGEMENTS LAMES'!$I:$I,$B68,'3-CHANGEMENTS LAMES'!$C:$C,$C68)</f>
        <v>29</v>
      </c>
      <c r="H68" s="13" t="str">
        <f>SUMIFS('2-SESSIONS SCIAGE'!$H:$H,'2-SESSIONS SCIAGE'!$I:$I,$A68,'2-SESSIONS SCIAGE'!$J:$J,$B68,'2-SESSIONS SCIAGE'!$C:$C,$C68)</f>
        <v>5</v>
      </c>
      <c r="I68" s="41" t="str">
        <f t="shared" si="1"/>
        <v>34</v>
      </c>
      <c r="J68" s="41" t="str">
        <f t="shared" si="2"/>
        <v>485</v>
      </c>
    </row>
    <row r="69" ht="14.25" customHeight="1">
      <c r="A69" s="40">
        <v>46172.0</v>
      </c>
      <c r="B69" s="11" t="s">
        <v>105</v>
      </c>
      <c r="C69" s="11" t="s">
        <v>27</v>
      </c>
      <c r="D69" s="13" t="str">
        <f>SUMIFS('2-SESSIONS SCIAGE'!$F:$F,'2-SESSIONS SCIAGE'!$I:$I,$A69,'2-SESSIONS SCIAGE'!$J:$J,$B69,'2-SESSIONS SCIAGE'!$C:$C,$C69,'2-SESSIONS SCIAGE'!$G:$G,"ok")</f>
        <v>271</v>
      </c>
      <c r="E69" s="13" t="str">
        <f>SUMIFS('2-SESSIONS SCIAGE'!$F:$F,'2-SESSIONS SCIAGE'!$I:$I,$A69,'2-SESSIONS SCIAGE'!$J:$J,$B69,'2-SESSIONS SCIAGE'!$C:$C,$C69,'2-SESSIONS SCIAGE'!$G:$G,"sciage un côté")+SUMIFS('2-SESSIONS SCIAGE'!$F:$F,'2-SESSIONS SCIAGE'!$I:$I,$A69,'2-SESSIONS SCIAGE'!$J:$J,$B69,'2-SESSIONS SCIAGE'!$C:$C,$C69,'2-SESSIONS SCIAGE'!$G:$G,"mauvaise épaisseur")+SUMIFS('2-SESSIONS SCIAGE'!$F:$F,'2-SESSIONS SCIAGE'!$I:$I,$A69,'2-SESSIONS SCIAGE'!$J:$J,$B69,'2-SESSIONS SCIAGE'!$C:$C,$C69,'2-SESSIONS SCIAGE'!$G:$G,"rayures")+SUMIFS('2-SESSIONS SCIAGE'!$F:$F,'2-SESSIONS SCIAGE'!$I:$I,$A69,'2-SESSIONS SCIAGE'!$J:$J,$B69,'2-SESSIONS SCIAGE'!$C:$C,$C69,'2-SESSIONS SCIAGE'!$G:$G,"deviation")</f>
        <v>0</v>
      </c>
      <c r="F69" s="13" t="str">
        <f>SUMIFS('2-SESSIONS SCIAGE'!$F:$F,'2-SESSIONS SCIAGE'!$I:$I,$A69,'2-SESSIONS SCIAGE'!$J:$J,$B69,'2-SESSIONS SCIAGE'!$C:$C,$C69,'2-SESSIONS SCIAGE'!$G:$G,"zéro")+SUMIFS('2-SESSIONS SCIAGE'!$F:$F,'2-SESSIONS SCIAGE'!$I:$I,$A69,'2-SESSIONS SCIAGE'!$J:$J,$B69,'2-SESSIONS SCIAGE'!$C:$C,$C69,'2-SESSIONS SCIAGE'!$G:$G,"panne mécanique")+SUMIFS('2-SESSIONS SCIAGE'!$F:$F,'2-SESSIONS SCIAGE'!$I:$I,$A69,'2-SESSIONS SCIAGE'!$J:$J,$B69,'2-SESSIONS SCIAGE'!$C:$C,$C69,'2-SESSIONS SCIAGE'!$G:$G,"panne électrique")</f>
        <v>0</v>
      </c>
      <c r="G69" s="13" t="str">
        <f>SUMIFS('3-CHANGEMENTS LAMES'!$F:$F,'3-CHANGEMENTS LAMES'!$H:$H,$A69,'3-CHANGEMENTS LAMES'!$I:$I,$B69,'3-CHANGEMENTS LAMES'!$C:$C,$C69)</f>
        <v>25</v>
      </c>
      <c r="H69" s="13" t="str">
        <f>SUMIFS('2-SESSIONS SCIAGE'!$H:$H,'2-SESSIONS SCIAGE'!$I:$I,$A69,'2-SESSIONS SCIAGE'!$J:$J,$B69,'2-SESSIONS SCIAGE'!$C:$C,$C69)</f>
        <v>9</v>
      </c>
      <c r="I69" s="41" t="str">
        <f t="shared" si="1"/>
        <v>34</v>
      </c>
      <c r="J69" s="41" t="str">
        <f t="shared" si="2"/>
        <v>305</v>
      </c>
    </row>
    <row r="70" ht="14.25" customHeight="1">
      <c r="A70" s="40">
        <v>46173.0</v>
      </c>
      <c r="B70" s="11" t="s">
        <v>106</v>
      </c>
      <c r="C70" s="11" t="s">
        <v>27</v>
      </c>
      <c r="D70" s="13" t="str">
        <f>SUMIFS('2-SESSIONS SCIAGE'!$F:$F,'2-SESSIONS SCIAGE'!$I:$I,$A70,'2-SESSIONS SCIAGE'!$J:$J,$B70,'2-SESSIONS SCIAGE'!$C:$C,$C70,'2-SESSIONS SCIAGE'!$G:$G,"ok")</f>
        <v>456</v>
      </c>
      <c r="E70" s="13" t="str">
        <f>SUMIFS('2-SESSIONS SCIAGE'!$F:$F,'2-SESSIONS SCIAGE'!$I:$I,$A70,'2-SESSIONS SCIAGE'!$J:$J,$B70,'2-SESSIONS SCIAGE'!$C:$C,$C70,'2-SESSIONS SCIAGE'!$G:$G,"sciage un côté")+SUMIFS('2-SESSIONS SCIAGE'!$F:$F,'2-SESSIONS SCIAGE'!$I:$I,$A70,'2-SESSIONS SCIAGE'!$J:$J,$B70,'2-SESSIONS SCIAGE'!$C:$C,$C70,'2-SESSIONS SCIAGE'!$G:$G,"mauvaise épaisseur")+SUMIFS('2-SESSIONS SCIAGE'!$F:$F,'2-SESSIONS SCIAGE'!$I:$I,$A70,'2-SESSIONS SCIAGE'!$J:$J,$B70,'2-SESSIONS SCIAGE'!$C:$C,$C70,'2-SESSIONS SCIAGE'!$G:$G,"rayures")+SUMIFS('2-SESSIONS SCIAGE'!$F:$F,'2-SESSIONS SCIAGE'!$I:$I,$A70,'2-SESSIONS SCIAGE'!$J:$J,$B70,'2-SESSIONS SCIAGE'!$C:$C,$C70,'2-SESSIONS SCIAGE'!$G:$G,"deviation")</f>
        <v>0</v>
      </c>
      <c r="F70" s="13" t="str">
        <f>SUMIFS('2-SESSIONS SCIAGE'!$F:$F,'2-SESSIONS SCIAGE'!$I:$I,$A70,'2-SESSIONS SCIAGE'!$J:$J,$B70,'2-SESSIONS SCIAGE'!$C:$C,$C70,'2-SESSIONS SCIAGE'!$G:$G,"zéro")+SUMIFS('2-SESSIONS SCIAGE'!$F:$F,'2-SESSIONS SCIAGE'!$I:$I,$A70,'2-SESSIONS SCIAGE'!$J:$J,$B70,'2-SESSIONS SCIAGE'!$C:$C,$C70,'2-SESSIONS SCIAGE'!$G:$G,"panne mécanique")+SUMIFS('2-SESSIONS SCIAGE'!$F:$F,'2-SESSIONS SCIAGE'!$I:$I,$A70,'2-SESSIONS SCIAGE'!$J:$J,$B70,'2-SESSIONS SCIAGE'!$C:$C,$C70,'2-SESSIONS SCIAGE'!$G:$G,"panne électrique")</f>
        <v>0</v>
      </c>
      <c r="G70" s="13" t="str">
        <f>SUMIFS('3-CHANGEMENTS LAMES'!$F:$F,'3-CHANGEMENTS LAMES'!$H:$H,$A70,'3-CHANGEMENTS LAMES'!$I:$I,$B70,'3-CHANGEMENTS LAMES'!$C:$C,$C70)</f>
        <v>24</v>
      </c>
      <c r="H70" s="13" t="str">
        <f>SUMIFS('2-SESSIONS SCIAGE'!$H:$H,'2-SESSIONS SCIAGE'!$I:$I,$A70,'2-SESSIONS SCIAGE'!$J:$J,$B70,'2-SESSIONS SCIAGE'!$C:$C,$C70)</f>
        <v>7</v>
      </c>
      <c r="I70" s="41" t="str">
        <f t="shared" si="1"/>
        <v>31</v>
      </c>
      <c r="J70" s="41" t="str">
        <f t="shared" si="2"/>
        <v>487</v>
      </c>
    </row>
    <row r="71" ht="14.25" customHeight="1">
      <c r="A71" s="40">
        <v>46173.0</v>
      </c>
      <c r="B71" s="11" t="s">
        <v>104</v>
      </c>
      <c r="C71" s="11" t="s">
        <v>27</v>
      </c>
      <c r="D71" s="13" t="str">
        <f>SUMIFS('2-SESSIONS SCIAGE'!$F:$F,'2-SESSIONS SCIAGE'!$I:$I,$A71,'2-SESSIONS SCIAGE'!$J:$J,$B71,'2-SESSIONS SCIAGE'!$C:$C,$C71,'2-SESSIONS SCIAGE'!$G:$G,"ok")</f>
        <v>424</v>
      </c>
      <c r="E71" s="13" t="str">
        <f>SUMIFS('2-SESSIONS SCIAGE'!$F:$F,'2-SESSIONS SCIAGE'!$I:$I,$A71,'2-SESSIONS SCIAGE'!$J:$J,$B71,'2-SESSIONS SCIAGE'!$C:$C,$C71,'2-SESSIONS SCIAGE'!$G:$G,"sciage un côté")+SUMIFS('2-SESSIONS SCIAGE'!$F:$F,'2-SESSIONS SCIAGE'!$I:$I,$A71,'2-SESSIONS SCIAGE'!$J:$J,$B71,'2-SESSIONS SCIAGE'!$C:$C,$C71,'2-SESSIONS SCIAGE'!$G:$G,"mauvaise épaisseur")+SUMIFS('2-SESSIONS SCIAGE'!$F:$F,'2-SESSIONS SCIAGE'!$I:$I,$A71,'2-SESSIONS SCIAGE'!$J:$J,$B71,'2-SESSIONS SCIAGE'!$C:$C,$C71,'2-SESSIONS SCIAGE'!$G:$G,"rayures")+SUMIFS('2-SESSIONS SCIAGE'!$F:$F,'2-SESSIONS SCIAGE'!$I:$I,$A71,'2-SESSIONS SCIAGE'!$J:$J,$B71,'2-SESSIONS SCIAGE'!$C:$C,$C71,'2-SESSIONS SCIAGE'!$G:$G,"deviation")</f>
        <v>0</v>
      </c>
      <c r="F71" s="13" t="str">
        <f>SUMIFS('2-SESSIONS SCIAGE'!$F:$F,'2-SESSIONS SCIAGE'!$I:$I,$A71,'2-SESSIONS SCIAGE'!$J:$J,$B71,'2-SESSIONS SCIAGE'!$C:$C,$C71,'2-SESSIONS SCIAGE'!$G:$G,"zéro")+SUMIFS('2-SESSIONS SCIAGE'!$F:$F,'2-SESSIONS SCIAGE'!$I:$I,$A71,'2-SESSIONS SCIAGE'!$J:$J,$B71,'2-SESSIONS SCIAGE'!$C:$C,$C71,'2-SESSIONS SCIAGE'!$G:$G,"panne mécanique")+SUMIFS('2-SESSIONS SCIAGE'!$F:$F,'2-SESSIONS SCIAGE'!$I:$I,$A71,'2-SESSIONS SCIAGE'!$J:$J,$B71,'2-SESSIONS SCIAGE'!$C:$C,$C71,'2-SESSIONS SCIAGE'!$G:$G,"panne électrique")</f>
        <v>26</v>
      </c>
      <c r="G71" s="13" t="str">
        <f>SUMIFS('3-CHANGEMENTS LAMES'!$F:$F,'3-CHANGEMENTS LAMES'!$H:$H,$A71,'3-CHANGEMENTS LAMES'!$I:$I,$B71,'3-CHANGEMENTS LAMES'!$C:$C,$C71)</f>
        <v>30</v>
      </c>
      <c r="H71" s="13" t="str">
        <f>SUMIFS('2-SESSIONS SCIAGE'!$H:$H,'2-SESSIONS SCIAGE'!$I:$I,$A71,'2-SESSIONS SCIAGE'!$J:$J,$B71,'2-SESSIONS SCIAGE'!$C:$C,$C71)</f>
        <v>0</v>
      </c>
      <c r="I71" s="41" t="str">
        <f t="shared" si="1"/>
        <v>56</v>
      </c>
      <c r="J71" s="41" t="str">
        <f t="shared" si="2"/>
        <v>480</v>
      </c>
    </row>
    <row r="72" ht="14.25" customHeight="1">
      <c r="A72" s="40">
        <v>46173.0</v>
      </c>
      <c r="B72" s="11" t="s">
        <v>105</v>
      </c>
      <c r="C72" s="11" t="s">
        <v>27</v>
      </c>
      <c r="D72" s="13" t="str">
        <f>SUMIFS('2-SESSIONS SCIAGE'!$F:$F,'2-SESSIONS SCIAGE'!$I:$I,$A72,'2-SESSIONS SCIAGE'!$J:$J,$B72,'2-SESSIONS SCIAGE'!$C:$C,$C72,'2-SESSIONS SCIAGE'!$G:$G,"ok")</f>
        <v>351</v>
      </c>
      <c r="E72" s="13" t="str">
        <f>SUMIFS('2-SESSIONS SCIAGE'!$F:$F,'2-SESSIONS SCIAGE'!$I:$I,$A72,'2-SESSIONS SCIAGE'!$J:$J,$B72,'2-SESSIONS SCIAGE'!$C:$C,$C72,'2-SESSIONS SCIAGE'!$G:$G,"sciage un côté")+SUMIFS('2-SESSIONS SCIAGE'!$F:$F,'2-SESSIONS SCIAGE'!$I:$I,$A72,'2-SESSIONS SCIAGE'!$J:$J,$B72,'2-SESSIONS SCIAGE'!$C:$C,$C72,'2-SESSIONS SCIAGE'!$G:$G,"mauvaise épaisseur")+SUMIFS('2-SESSIONS SCIAGE'!$F:$F,'2-SESSIONS SCIAGE'!$I:$I,$A72,'2-SESSIONS SCIAGE'!$J:$J,$B72,'2-SESSIONS SCIAGE'!$C:$C,$C72,'2-SESSIONS SCIAGE'!$G:$G,"rayures")+SUMIFS('2-SESSIONS SCIAGE'!$F:$F,'2-SESSIONS SCIAGE'!$I:$I,$A72,'2-SESSIONS SCIAGE'!$J:$J,$B72,'2-SESSIONS SCIAGE'!$C:$C,$C72,'2-SESSIONS SCIAGE'!$G:$G,"deviation")</f>
        <v>0</v>
      </c>
      <c r="F72" s="13" t="str">
        <f>SUMIFS('2-SESSIONS SCIAGE'!$F:$F,'2-SESSIONS SCIAGE'!$I:$I,$A72,'2-SESSIONS SCIAGE'!$J:$J,$B72,'2-SESSIONS SCIAGE'!$C:$C,$C72,'2-SESSIONS SCIAGE'!$G:$G,"zéro")+SUMIFS('2-SESSIONS SCIAGE'!$F:$F,'2-SESSIONS SCIAGE'!$I:$I,$A72,'2-SESSIONS SCIAGE'!$J:$J,$B72,'2-SESSIONS SCIAGE'!$C:$C,$C72,'2-SESSIONS SCIAGE'!$G:$G,"panne mécanique")+SUMIFS('2-SESSIONS SCIAGE'!$F:$F,'2-SESSIONS SCIAGE'!$I:$I,$A72,'2-SESSIONS SCIAGE'!$J:$J,$B72,'2-SESSIONS SCIAGE'!$C:$C,$C72,'2-SESSIONS SCIAGE'!$G:$G,"panne électrique")</f>
        <v>0</v>
      </c>
      <c r="G72" s="13" t="str">
        <f>SUMIFS('3-CHANGEMENTS LAMES'!$F:$F,'3-CHANGEMENTS LAMES'!$H:$H,$A72,'3-CHANGEMENTS LAMES'!$I:$I,$B72,'3-CHANGEMENTS LAMES'!$C:$C,$C72)</f>
        <v>12</v>
      </c>
      <c r="H72" s="13" t="str">
        <f>SUMIFS('2-SESSIONS SCIAGE'!$H:$H,'2-SESSIONS SCIAGE'!$I:$I,$A72,'2-SESSIONS SCIAGE'!$J:$J,$B72,'2-SESSIONS SCIAGE'!$C:$C,$C72)</f>
        <v>1</v>
      </c>
      <c r="I72" s="41" t="str">
        <f t="shared" si="1"/>
        <v>13</v>
      </c>
      <c r="J72" s="41" t="str">
        <f t="shared" si="2"/>
        <v>364</v>
      </c>
    </row>
    <row r="73" ht="14.25" customHeight="1">
      <c r="A73" s="40">
        <v>46174.0</v>
      </c>
      <c r="B73" s="11" t="s">
        <v>106</v>
      </c>
      <c r="C73" s="11" t="s">
        <v>27</v>
      </c>
      <c r="D73" s="13" t="str">
        <f>SUMIFS('2-SESSIONS SCIAGE'!$F:$F,'2-SESSIONS SCIAGE'!$I:$I,$A73,'2-SESSIONS SCIAGE'!$J:$J,$B73,'2-SESSIONS SCIAGE'!$C:$C,$C73,'2-SESSIONS SCIAGE'!$G:$G,"ok")</f>
        <v>338</v>
      </c>
      <c r="E73" s="13" t="str">
        <f>SUMIFS('2-SESSIONS SCIAGE'!$F:$F,'2-SESSIONS SCIAGE'!$I:$I,$A73,'2-SESSIONS SCIAGE'!$J:$J,$B73,'2-SESSIONS SCIAGE'!$C:$C,$C73,'2-SESSIONS SCIAGE'!$G:$G,"sciage un côté")+SUMIFS('2-SESSIONS SCIAGE'!$F:$F,'2-SESSIONS SCIAGE'!$I:$I,$A73,'2-SESSIONS SCIAGE'!$J:$J,$B73,'2-SESSIONS SCIAGE'!$C:$C,$C73,'2-SESSIONS SCIAGE'!$G:$G,"mauvaise épaisseur")+SUMIFS('2-SESSIONS SCIAGE'!$F:$F,'2-SESSIONS SCIAGE'!$I:$I,$A73,'2-SESSIONS SCIAGE'!$J:$J,$B73,'2-SESSIONS SCIAGE'!$C:$C,$C73,'2-SESSIONS SCIAGE'!$G:$G,"rayures")+SUMIFS('2-SESSIONS SCIAGE'!$F:$F,'2-SESSIONS SCIAGE'!$I:$I,$A73,'2-SESSIONS SCIAGE'!$J:$J,$B73,'2-SESSIONS SCIAGE'!$C:$C,$C73,'2-SESSIONS SCIAGE'!$G:$G,"deviation")</f>
        <v>99</v>
      </c>
      <c r="F73" s="13" t="str">
        <f>SUMIFS('2-SESSIONS SCIAGE'!$F:$F,'2-SESSIONS SCIAGE'!$I:$I,$A73,'2-SESSIONS SCIAGE'!$J:$J,$B73,'2-SESSIONS SCIAGE'!$C:$C,$C73,'2-SESSIONS SCIAGE'!$G:$G,"zéro")+SUMIFS('2-SESSIONS SCIAGE'!$F:$F,'2-SESSIONS SCIAGE'!$I:$I,$A73,'2-SESSIONS SCIAGE'!$J:$J,$B73,'2-SESSIONS SCIAGE'!$C:$C,$C73,'2-SESSIONS SCIAGE'!$G:$G,"panne mécanique")+SUMIFS('2-SESSIONS SCIAGE'!$F:$F,'2-SESSIONS SCIAGE'!$I:$I,$A73,'2-SESSIONS SCIAGE'!$J:$J,$B73,'2-SESSIONS SCIAGE'!$C:$C,$C73,'2-SESSIONS SCIAGE'!$G:$G,"panne électrique")</f>
        <v>0</v>
      </c>
      <c r="G73" s="13" t="str">
        <f>SUMIFS('3-CHANGEMENTS LAMES'!$F:$F,'3-CHANGEMENTS LAMES'!$H:$H,$A73,'3-CHANGEMENTS LAMES'!$I:$I,$B73,'3-CHANGEMENTS LAMES'!$C:$C,$C73)</f>
        <v>43</v>
      </c>
      <c r="H73" s="13" t="str">
        <f>SUMIFS('2-SESSIONS SCIAGE'!$H:$H,'2-SESSIONS SCIAGE'!$I:$I,$A73,'2-SESSIONS SCIAGE'!$J:$J,$B73,'2-SESSIONS SCIAGE'!$C:$C,$C73)</f>
        <v>3</v>
      </c>
      <c r="I73" s="41" t="str">
        <f t="shared" si="1"/>
        <v>46</v>
      </c>
      <c r="J73" s="41" t="str">
        <f t="shared" si="2"/>
        <v>483</v>
      </c>
    </row>
    <row r="74" ht="14.25" customHeight="1">
      <c r="A74" s="40">
        <v>46174.0</v>
      </c>
      <c r="B74" s="11" t="s">
        <v>104</v>
      </c>
      <c r="C74" s="11" t="s">
        <v>27</v>
      </c>
      <c r="D74" s="13" t="str">
        <f>SUMIFS('2-SESSIONS SCIAGE'!$F:$F,'2-SESSIONS SCIAGE'!$I:$I,$A74,'2-SESSIONS SCIAGE'!$J:$J,$B74,'2-SESSIONS SCIAGE'!$C:$C,$C74,'2-SESSIONS SCIAGE'!$G:$G,"ok")</f>
        <v>240</v>
      </c>
      <c r="E74" s="13" t="str">
        <f>SUMIFS('2-SESSIONS SCIAGE'!$F:$F,'2-SESSIONS SCIAGE'!$I:$I,$A74,'2-SESSIONS SCIAGE'!$J:$J,$B74,'2-SESSIONS SCIAGE'!$C:$C,$C74,'2-SESSIONS SCIAGE'!$G:$G,"sciage un côté")+SUMIFS('2-SESSIONS SCIAGE'!$F:$F,'2-SESSIONS SCIAGE'!$I:$I,$A74,'2-SESSIONS SCIAGE'!$J:$J,$B74,'2-SESSIONS SCIAGE'!$C:$C,$C74,'2-SESSIONS SCIAGE'!$G:$G,"mauvaise épaisseur")+SUMIFS('2-SESSIONS SCIAGE'!$F:$F,'2-SESSIONS SCIAGE'!$I:$I,$A74,'2-SESSIONS SCIAGE'!$J:$J,$B74,'2-SESSIONS SCIAGE'!$C:$C,$C74,'2-SESSIONS SCIAGE'!$G:$G,"rayures")+SUMIFS('2-SESSIONS SCIAGE'!$F:$F,'2-SESSIONS SCIAGE'!$I:$I,$A74,'2-SESSIONS SCIAGE'!$J:$J,$B74,'2-SESSIONS SCIAGE'!$C:$C,$C74,'2-SESSIONS SCIAGE'!$G:$G,"deviation")</f>
        <v>41</v>
      </c>
      <c r="F74" s="13" t="str">
        <f>SUMIFS('2-SESSIONS SCIAGE'!$F:$F,'2-SESSIONS SCIAGE'!$I:$I,$A74,'2-SESSIONS SCIAGE'!$J:$J,$B74,'2-SESSIONS SCIAGE'!$C:$C,$C74,'2-SESSIONS SCIAGE'!$G:$G,"zéro")+SUMIFS('2-SESSIONS SCIAGE'!$F:$F,'2-SESSIONS SCIAGE'!$I:$I,$A74,'2-SESSIONS SCIAGE'!$J:$J,$B74,'2-SESSIONS SCIAGE'!$C:$C,$C74,'2-SESSIONS SCIAGE'!$G:$G,"panne mécanique")+SUMIFS('2-SESSIONS SCIAGE'!$F:$F,'2-SESSIONS SCIAGE'!$I:$I,$A74,'2-SESSIONS SCIAGE'!$J:$J,$B74,'2-SESSIONS SCIAGE'!$C:$C,$C74,'2-SESSIONS SCIAGE'!$G:$G,"panne électrique")</f>
        <v>0</v>
      </c>
      <c r="G74" s="13" t="str">
        <f>SUMIFS('3-CHANGEMENTS LAMES'!$F:$F,'3-CHANGEMENTS LAMES'!$H:$H,$A74,'3-CHANGEMENTS LAMES'!$I:$I,$B74,'3-CHANGEMENTS LAMES'!$C:$C,$C74)</f>
        <v>84</v>
      </c>
      <c r="H74" s="13" t="str">
        <f>SUMIFS('2-SESSIONS SCIAGE'!$H:$H,'2-SESSIONS SCIAGE'!$I:$I,$A74,'2-SESSIONS SCIAGE'!$J:$J,$B74,'2-SESSIONS SCIAGE'!$C:$C,$C74)</f>
        <v>0</v>
      </c>
      <c r="I74" s="41" t="str">
        <f t="shared" si="1"/>
        <v>84</v>
      </c>
      <c r="J74" s="41" t="str">
        <f t="shared" si="2"/>
        <v>365</v>
      </c>
    </row>
    <row r="75" ht="14.25" customHeight="1">
      <c r="A75" s="40">
        <v>46174.0</v>
      </c>
      <c r="B75" s="11" t="s">
        <v>105</v>
      </c>
      <c r="C75" s="11" t="s">
        <v>27</v>
      </c>
      <c r="D75" s="13" t="str">
        <f>SUMIFS('2-SESSIONS SCIAGE'!$F:$F,'2-SESSIONS SCIAGE'!$I:$I,$A75,'2-SESSIONS SCIAGE'!$J:$J,$B75,'2-SESSIONS SCIAGE'!$C:$C,$C75,'2-SESSIONS SCIAGE'!$G:$G,"ok")</f>
        <v>111</v>
      </c>
      <c r="E75" s="13" t="str">
        <f>SUMIFS('2-SESSIONS SCIAGE'!$F:$F,'2-SESSIONS SCIAGE'!$I:$I,$A75,'2-SESSIONS SCIAGE'!$J:$J,$B75,'2-SESSIONS SCIAGE'!$C:$C,$C75,'2-SESSIONS SCIAGE'!$G:$G,"sciage un côté")+SUMIFS('2-SESSIONS SCIAGE'!$F:$F,'2-SESSIONS SCIAGE'!$I:$I,$A75,'2-SESSIONS SCIAGE'!$J:$J,$B75,'2-SESSIONS SCIAGE'!$C:$C,$C75,'2-SESSIONS SCIAGE'!$G:$G,"mauvaise épaisseur")+SUMIFS('2-SESSIONS SCIAGE'!$F:$F,'2-SESSIONS SCIAGE'!$I:$I,$A75,'2-SESSIONS SCIAGE'!$J:$J,$B75,'2-SESSIONS SCIAGE'!$C:$C,$C75,'2-SESSIONS SCIAGE'!$G:$G,"rayures")+SUMIFS('2-SESSIONS SCIAGE'!$F:$F,'2-SESSIONS SCIAGE'!$I:$I,$A75,'2-SESSIONS SCIAGE'!$J:$J,$B75,'2-SESSIONS SCIAGE'!$C:$C,$C75,'2-SESSIONS SCIAGE'!$G:$G,"deviation")</f>
        <v>0</v>
      </c>
      <c r="F75" s="13" t="str">
        <f>SUMIFS('2-SESSIONS SCIAGE'!$F:$F,'2-SESSIONS SCIAGE'!$I:$I,$A75,'2-SESSIONS SCIAGE'!$J:$J,$B75,'2-SESSIONS SCIAGE'!$C:$C,$C75,'2-SESSIONS SCIAGE'!$G:$G,"zéro")+SUMIFS('2-SESSIONS SCIAGE'!$F:$F,'2-SESSIONS SCIAGE'!$I:$I,$A75,'2-SESSIONS SCIAGE'!$J:$J,$B75,'2-SESSIONS SCIAGE'!$C:$C,$C75,'2-SESSIONS SCIAGE'!$G:$G,"panne mécanique")+SUMIFS('2-SESSIONS SCIAGE'!$F:$F,'2-SESSIONS SCIAGE'!$I:$I,$A75,'2-SESSIONS SCIAGE'!$J:$J,$B75,'2-SESSIONS SCIAGE'!$C:$C,$C75,'2-SESSIONS SCIAGE'!$G:$G,"panne électrique")</f>
        <v>160</v>
      </c>
      <c r="G75" s="13" t="str">
        <f>SUMIFS('3-CHANGEMENTS LAMES'!$F:$F,'3-CHANGEMENTS LAMES'!$H:$H,$A75,'3-CHANGEMENTS LAMES'!$I:$I,$B75,'3-CHANGEMENTS LAMES'!$C:$C,$C75)</f>
        <v>71</v>
      </c>
      <c r="H75" s="13" t="str">
        <f>SUMIFS('2-SESSIONS SCIAGE'!$H:$H,'2-SESSIONS SCIAGE'!$I:$I,$A75,'2-SESSIONS SCIAGE'!$J:$J,$B75,'2-SESSIONS SCIAGE'!$C:$C,$C75)</f>
        <v>11</v>
      </c>
      <c r="I75" s="41" t="str">
        <f t="shared" si="1"/>
        <v>242</v>
      </c>
      <c r="J75" s="41" t="str">
        <f t="shared" si="2"/>
        <v>353</v>
      </c>
    </row>
    <row r="76" ht="14.25" customHeight="1">
      <c r="A76" s="40">
        <v>46175.0</v>
      </c>
      <c r="B76" s="11" t="s">
        <v>106</v>
      </c>
      <c r="C76" s="11" t="s">
        <v>27</v>
      </c>
      <c r="D76" s="13" t="str">
        <f>SUMIFS('2-SESSIONS SCIAGE'!$F:$F,'2-SESSIONS SCIAGE'!$I:$I,$A76,'2-SESSIONS SCIAGE'!$J:$J,$B76,'2-SESSIONS SCIAGE'!$C:$C,$C76,'2-SESSIONS SCIAGE'!$G:$G,"ok")</f>
        <v>170</v>
      </c>
      <c r="E76" s="13" t="str">
        <f>SUMIFS('2-SESSIONS SCIAGE'!$F:$F,'2-SESSIONS SCIAGE'!$I:$I,$A76,'2-SESSIONS SCIAGE'!$J:$J,$B76,'2-SESSIONS SCIAGE'!$C:$C,$C76,'2-SESSIONS SCIAGE'!$G:$G,"sciage un côté")+SUMIFS('2-SESSIONS SCIAGE'!$F:$F,'2-SESSIONS SCIAGE'!$I:$I,$A76,'2-SESSIONS SCIAGE'!$J:$J,$B76,'2-SESSIONS SCIAGE'!$C:$C,$C76,'2-SESSIONS SCIAGE'!$G:$G,"mauvaise épaisseur")+SUMIFS('2-SESSIONS SCIAGE'!$F:$F,'2-SESSIONS SCIAGE'!$I:$I,$A76,'2-SESSIONS SCIAGE'!$J:$J,$B76,'2-SESSIONS SCIAGE'!$C:$C,$C76,'2-SESSIONS SCIAGE'!$G:$G,"rayures")+SUMIFS('2-SESSIONS SCIAGE'!$F:$F,'2-SESSIONS SCIAGE'!$I:$I,$A76,'2-SESSIONS SCIAGE'!$J:$J,$B76,'2-SESSIONS SCIAGE'!$C:$C,$C76,'2-SESSIONS SCIAGE'!$G:$G,"deviation")</f>
        <v>229</v>
      </c>
      <c r="F76" s="13" t="str">
        <f>SUMIFS('2-SESSIONS SCIAGE'!$F:$F,'2-SESSIONS SCIAGE'!$I:$I,$A76,'2-SESSIONS SCIAGE'!$J:$J,$B76,'2-SESSIONS SCIAGE'!$C:$C,$C76,'2-SESSIONS SCIAGE'!$G:$G,"zéro")+SUMIFS('2-SESSIONS SCIAGE'!$F:$F,'2-SESSIONS SCIAGE'!$I:$I,$A76,'2-SESSIONS SCIAGE'!$J:$J,$B76,'2-SESSIONS SCIAGE'!$C:$C,$C76,'2-SESSIONS SCIAGE'!$G:$G,"panne mécanique")+SUMIFS('2-SESSIONS SCIAGE'!$F:$F,'2-SESSIONS SCIAGE'!$I:$I,$A76,'2-SESSIONS SCIAGE'!$J:$J,$B76,'2-SESSIONS SCIAGE'!$C:$C,$C76,'2-SESSIONS SCIAGE'!$G:$G,"panne électrique")</f>
        <v>56</v>
      </c>
      <c r="G76" s="13" t="str">
        <f>SUMIFS('3-CHANGEMENTS LAMES'!$F:$F,'3-CHANGEMENTS LAMES'!$H:$H,$A76,'3-CHANGEMENTS LAMES'!$I:$I,$B76,'3-CHANGEMENTS LAMES'!$C:$C,$C76)</f>
        <v>25</v>
      </c>
      <c r="H76" s="13" t="str">
        <f>SUMIFS('2-SESSIONS SCIAGE'!$H:$H,'2-SESSIONS SCIAGE'!$I:$I,$A76,'2-SESSIONS SCIAGE'!$J:$J,$B76,'2-SESSIONS SCIAGE'!$C:$C,$C76)</f>
        <v>4</v>
      </c>
      <c r="I76" s="41" t="str">
        <f t="shared" si="1"/>
        <v>85</v>
      </c>
      <c r="J76" s="41" t="str">
        <f t="shared" si="2"/>
        <v>484</v>
      </c>
    </row>
    <row r="77" ht="14.25" customHeight="1">
      <c r="A77" s="40">
        <v>46175.0</v>
      </c>
      <c r="B77" s="11" t="s">
        <v>104</v>
      </c>
      <c r="C77" s="11" t="s">
        <v>27</v>
      </c>
      <c r="D77" s="13" t="str">
        <f>SUMIFS('2-SESSIONS SCIAGE'!$F:$F,'2-SESSIONS SCIAGE'!$I:$I,$A77,'2-SESSIONS SCIAGE'!$J:$J,$B77,'2-SESSIONS SCIAGE'!$C:$C,$C77,'2-SESSIONS SCIAGE'!$G:$G,"ok")</f>
        <v>459</v>
      </c>
      <c r="E77" s="13" t="str">
        <f>SUMIFS('2-SESSIONS SCIAGE'!$F:$F,'2-SESSIONS SCIAGE'!$I:$I,$A77,'2-SESSIONS SCIAGE'!$J:$J,$B77,'2-SESSIONS SCIAGE'!$C:$C,$C77,'2-SESSIONS SCIAGE'!$G:$G,"sciage un côté")+SUMIFS('2-SESSIONS SCIAGE'!$F:$F,'2-SESSIONS SCIAGE'!$I:$I,$A77,'2-SESSIONS SCIAGE'!$J:$J,$B77,'2-SESSIONS SCIAGE'!$C:$C,$C77,'2-SESSIONS SCIAGE'!$G:$G,"mauvaise épaisseur")+SUMIFS('2-SESSIONS SCIAGE'!$F:$F,'2-SESSIONS SCIAGE'!$I:$I,$A77,'2-SESSIONS SCIAGE'!$J:$J,$B77,'2-SESSIONS SCIAGE'!$C:$C,$C77,'2-SESSIONS SCIAGE'!$G:$G,"rayures")+SUMIFS('2-SESSIONS SCIAGE'!$F:$F,'2-SESSIONS SCIAGE'!$I:$I,$A77,'2-SESSIONS SCIAGE'!$J:$J,$B77,'2-SESSIONS SCIAGE'!$C:$C,$C77,'2-SESSIONS SCIAGE'!$G:$G,"deviation")</f>
        <v>0</v>
      </c>
      <c r="F77" s="13" t="str">
        <f>SUMIFS('2-SESSIONS SCIAGE'!$F:$F,'2-SESSIONS SCIAGE'!$I:$I,$A77,'2-SESSIONS SCIAGE'!$J:$J,$B77,'2-SESSIONS SCIAGE'!$C:$C,$C77,'2-SESSIONS SCIAGE'!$G:$G,"zéro")+SUMIFS('2-SESSIONS SCIAGE'!$F:$F,'2-SESSIONS SCIAGE'!$I:$I,$A77,'2-SESSIONS SCIAGE'!$J:$J,$B77,'2-SESSIONS SCIAGE'!$C:$C,$C77,'2-SESSIONS SCIAGE'!$G:$G,"panne mécanique")+SUMIFS('2-SESSIONS SCIAGE'!$F:$F,'2-SESSIONS SCIAGE'!$I:$I,$A77,'2-SESSIONS SCIAGE'!$J:$J,$B77,'2-SESSIONS SCIAGE'!$C:$C,$C77,'2-SESSIONS SCIAGE'!$G:$G,"panne électrique")</f>
        <v>0</v>
      </c>
      <c r="G77" s="13" t="str">
        <f>SUMIFS('3-CHANGEMENTS LAMES'!$F:$F,'3-CHANGEMENTS LAMES'!$H:$H,$A77,'3-CHANGEMENTS LAMES'!$I:$I,$B77,'3-CHANGEMENTS LAMES'!$C:$C,$C77)</f>
        <v>21</v>
      </c>
      <c r="H77" s="13" t="str">
        <f>SUMIFS('2-SESSIONS SCIAGE'!$H:$H,'2-SESSIONS SCIAGE'!$I:$I,$A77,'2-SESSIONS SCIAGE'!$J:$J,$B77,'2-SESSIONS SCIAGE'!$C:$C,$C77)</f>
        <v>0</v>
      </c>
      <c r="I77" s="41" t="str">
        <f t="shared" si="1"/>
        <v>21</v>
      </c>
      <c r="J77" s="41" t="str">
        <f t="shared" si="2"/>
        <v>480</v>
      </c>
    </row>
    <row r="78" ht="14.25" customHeight="1">
      <c r="A78" s="40">
        <v>46175.0</v>
      </c>
      <c r="B78" s="11" t="s">
        <v>105</v>
      </c>
      <c r="C78" s="11" t="s">
        <v>27</v>
      </c>
      <c r="D78" s="13" t="str">
        <f>SUMIFS('2-SESSIONS SCIAGE'!$F:$F,'2-SESSIONS SCIAGE'!$I:$I,$A78,'2-SESSIONS SCIAGE'!$J:$J,$B78,'2-SESSIONS SCIAGE'!$C:$C,$C78,'2-SESSIONS SCIAGE'!$G:$G,"ok")</f>
        <v>275</v>
      </c>
      <c r="E78" s="13" t="str">
        <f>SUMIFS('2-SESSIONS SCIAGE'!$F:$F,'2-SESSIONS SCIAGE'!$I:$I,$A78,'2-SESSIONS SCIAGE'!$J:$J,$B78,'2-SESSIONS SCIAGE'!$C:$C,$C78,'2-SESSIONS SCIAGE'!$G:$G,"sciage un côté")+SUMIFS('2-SESSIONS SCIAGE'!$F:$F,'2-SESSIONS SCIAGE'!$I:$I,$A78,'2-SESSIONS SCIAGE'!$J:$J,$B78,'2-SESSIONS SCIAGE'!$C:$C,$C78,'2-SESSIONS SCIAGE'!$G:$G,"mauvaise épaisseur")+SUMIFS('2-SESSIONS SCIAGE'!$F:$F,'2-SESSIONS SCIAGE'!$I:$I,$A78,'2-SESSIONS SCIAGE'!$J:$J,$B78,'2-SESSIONS SCIAGE'!$C:$C,$C78,'2-SESSIONS SCIAGE'!$G:$G,"rayures")+SUMIFS('2-SESSIONS SCIAGE'!$F:$F,'2-SESSIONS SCIAGE'!$I:$I,$A78,'2-SESSIONS SCIAGE'!$J:$J,$B78,'2-SESSIONS SCIAGE'!$C:$C,$C78,'2-SESSIONS SCIAGE'!$G:$G,"deviation")</f>
        <v>157</v>
      </c>
      <c r="F78" s="13" t="str">
        <f>SUMIFS('2-SESSIONS SCIAGE'!$F:$F,'2-SESSIONS SCIAGE'!$I:$I,$A78,'2-SESSIONS SCIAGE'!$J:$J,$B78,'2-SESSIONS SCIAGE'!$C:$C,$C78,'2-SESSIONS SCIAGE'!$G:$G,"zéro")+SUMIFS('2-SESSIONS SCIAGE'!$F:$F,'2-SESSIONS SCIAGE'!$I:$I,$A78,'2-SESSIONS SCIAGE'!$J:$J,$B78,'2-SESSIONS SCIAGE'!$C:$C,$C78,'2-SESSIONS SCIAGE'!$G:$G,"panne mécanique")+SUMIFS('2-SESSIONS SCIAGE'!$F:$F,'2-SESSIONS SCIAGE'!$I:$I,$A78,'2-SESSIONS SCIAGE'!$J:$J,$B78,'2-SESSIONS SCIAGE'!$C:$C,$C78,'2-SESSIONS SCIAGE'!$G:$G,"panne électrique")</f>
        <v>0</v>
      </c>
      <c r="G78" s="13" t="str">
        <f>SUMIFS('3-CHANGEMENTS LAMES'!$F:$F,'3-CHANGEMENTS LAMES'!$H:$H,$A78,'3-CHANGEMENTS LAMES'!$I:$I,$B78,'3-CHANGEMENTS LAMES'!$C:$C,$C78)</f>
        <v>35</v>
      </c>
      <c r="H78" s="13" t="str">
        <f>SUMIFS('2-SESSIONS SCIAGE'!$H:$H,'2-SESSIONS SCIAGE'!$I:$I,$A78,'2-SESSIONS SCIAGE'!$J:$J,$B78,'2-SESSIONS SCIAGE'!$C:$C,$C78)</f>
        <v>10</v>
      </c>
      <c r="I78" s="41" t="str">
        <f t="shared" si="1"/>
        <v>45</v>
      </c>
      <c r="J78" s="41" t="str">
        <f t="shared" si="2"/>
        <v>477</v>
      </c>
    </row>
    <row r="79" ht="14.25" customHeight="1">
      <c r="A79" s="40">
        <v>46176.0</v>
      </c>
      <c r="B79" s="11" t="s">
        <v>106</v>
      </c>
      <c r="C79" s="11" t="s">
        <v>27</v>
      </c>
      <c r="D79" s="13" t="str">
        <f>SUMIFS('2-SESSIONS SCIAGE'!$F:$F,'2-SESSIONS SCIAGE'!$I:$I,$A79,'2-SESSIONS SCIAGE'!$J:$J,$B79,'2-SESSIONS SCIAGE'!$C:$C,$C79,'2-SESSIONS SCIAGE'!$G:$G,"ok")</f>
        <v>352</v>
      </c>
      <c r="E79" s="13" t="str">
        <f>SUMIFS('2-SESSIONS SCIAGE'!$F:$F,'2-SESSIONS SCIAGE'!$I:$I,$A79,'2-SESSIONS SCIAGE'!$J:$J,$B79,'2-SESSIONS SCIAGE'!$C:$C,$C79,'2-SESSIONS SCIAGE'!$G:$G,"sciage un côté")+SUMIFS('2-SESSIONS SCIAGE'!$F:$F,'2-SESSIONS SCIAGE'!$I:$I,$A79,'2-SESSIONS SCIAGE'!$J:$J,$B79,'2-SESSIONS SCIAGE'!$C:$C,$C79,'2-SESSIONS SCIAGE'!$G:$G,"mauvaise épaisseur")+SUMIFS('2-SESSIONS SCIAGE'!$F:$F,'2-SESSIONS SCIAGE'!$I:$I,$A79,'2-SESSIONS SCIAGE'!$J:$J,$B79,'2-SESSIONS SCIAGE'!$C:$C,$C79,'2-SESSIONS SCIAGE'!$G:$G,"rayures")+SUMIFS('2-SESSIONS SCIAGE'!$F:$F,'2-SESSIONS SCIAGE'!$I:$I,$A79,'2-SESSIONS SCIAGE'!$J:$J,$B79,'2-SESSIONS SCIAGE'!$C:$C,$C79,'2-SESSIONS SCIAGE'!$G:$G,"deviation")</f>
        <v>0</v>
      </c>
      <c r="F79" s="13" t="str">
        <f>SUMIFS('2-SESSIONS SCIAGE'!$F:$F,'2-SESSIONS SCIAGE'!$I:$I,$A79,'2-SESSIONS SCIAGE'!$J:$J,$B79,'2-SESSIONS SCIAGE'!$C:$C,$C79,'2-SESSIONS SCIAGE'!$G:$G,"zéro")+SUMIFS('2-SESSIONS SCIAGE'!$F:$F,'2-SESSIONS SCIAGE'!$I:$I,$A79,'2-SESSIONS SCIAGE'!$J:$J,$B79,'2-SESSIONS SCIAGE'!$C:$C,$C79,'2-SESSIONS SCIAGE'!$G:$G,"panne mécanique")+SUMIFS('2-SESSIONS SCIAGE'!$F:$F,'2-SESSIONS SCIAGE'!$I:$I,$A79,'2-SESSIONS SCIAGE'!$J:$J,$B79,'2-SESSIONS SCIAGE'!$C:$C,$C79,'2-SESSIONS SCIAGE'!$G:$G,"panne électrique")</f>
        <v>113</v>
      </c>
      <c r="G79" s="13" t="str">
        <f>SUMIFS('3-CHANGEMENTS LAMES'!$F:$F,'3-CHANGEMENTS LAMES'!$H:$H,$A79,'3-CHANGEMENTS LAMES'!$I:$I,$B79,'3-CHANGEMENTS LAMES'!$C:$C,$C79)</f>
        <v>128</v>
      </c>
      <c r="H79" s="13" t="str">
        <f>SUMIFS('2-SESSIONS SCIAGE'!$H:$H,'2-SESSIONS SCIAGE'!$I:$I,$A79,'2-SESSIONS SCIAGE'!$J:$J,$B79,'2-SESSIONS SCIAGE'!$C:$C,$C79)</f>
        <v>122</v>
      </c>
      <c r="I79" s="41" t="str">
        <f t="shared" si="1"/>
        <v>363</v>
      </c>
      <c r="J79" s="41" t="str">
        <f t="shared" si="2"/>
        <v>715</v>
      </c>
    </row>
    <row r="80" ht="14.25" customHeight="1">
      <c r="A80" s="40">
        <v>46176.0</v>
      </c>
      <c r="B80" s="11" t="s">
        <v>104</v>
      </c>
      <c r="C80" s="11" t="s">
        <v>27</v>
      </c>
      <c r="D80" s="13" t="str">
        <f>SUMIFS('2-SESSIONS SCIAGE'!$F:$F,'2-SESSIONS SCIAGE'!$I:$I,$A80,'2-SESSIONS SCIAGE'!$J:$J,$B80,'2-SESSIONS SCIAGE'!$C:$C,$C80,'2-SESSIONS SCIAGE'!$G:$G,"ok")</f>
        <v>380</v>
      </c>
      <c r="E80" s="13" t="str">
        <f>SUMIFS('2-SESSIONS SCIAGE'!$F:$F,'2-SESSIONS SCIAGE'!$I:$I,$A80,'2-SESSIONS SCIAGE'!$J:$J,$B80,'2-SESSIONS SCIAGE'!$C:$C,$C80,'2-SESSIONS SCIAGE'!$G:$G,"sciage un côté")+SUMIFS('2-SESSIONS SCIAGE'!$F:$F,'2-SESSIONS SCIAGE'!$I:$I,$A80,'2-SESSIONS SCIAGE'!$J:$J,$B80,'2-SESSIONS SCIAGE'!$C:$C,$C80,'2-SESSIONS SCIAGE'!$G:$G,"mauvaise épaisseur")+SUMIFS('2-SESSIONS SCIAGE'!$F:$F,'2-SESSIONS SCIAGE'!$I:$I,$A80,'2-SESSIONS SCIAGE'!$J:$J,$B80,'2-SESSIONS SCIAGE'!$C:$C,$C80,'2-SESSIONS SCIAGE'!$G:$G,"rayures")+SUMIFS('2-SESSIONS SCIAGE'!$F:$F,'2-SESSIONS SCIAGE'!$I:$I,$A80,'2-SESSIONS SCIAGE'!$J:$J,$B80,'2-SESSIONS SCIAGE'!$C:$C,$C80,'2-SESSIONS SCIAGE'!$G:$G,"deviation")</f>
        <v>0</v>
      </c>
      <c r="F80" s="13" t="str">
        <f>SUMIFS('2-SESSIONS SCIAGE'!$F:$F,'2-SESSIONS SCIAGE'!$I:$I,$A80,'2-SESSIONS SCIAGE'!$J:$J,$B80,'2-SESSIONS SCIAGE'!$C:$C,$C80,'2-SESSIONS SCIAGE'!$G:$G,"zéro")+SUMIFS('2-SESSIONS SCIAGE'!$F:$F,'2-SESSIONS SCIAGE'!$I:$I,$A80,'2-SESSIONS SCIAGE'!$J:$J,$B80,'2-SESSIONS SCIAGE'!$C:$C,$C80,'2-SESSIONS SCIAGE'!$G:$G,"panne mécanique")+SUMIFS('2-SESSIONS SCIAGE'!$F:$F,'2-SESSIONS SCIAGE'!$I:$I,$A80,'2-SESSIONS SCIAGE'!$J:$J,$B80,'2-SESSIONS SCIAGE'!$C:$C,$C80,'2-SESSIONS SCIAGE'!$G:$G,"panne électrique")</f>
        <v>81</v>
      </c>
      <c r="G80" s="13" t="str">
        <f>SUMIFS('3-CHANGEMENTS LAMES'!$F:$F,'3-CHANGEMENTS LAMES'!$H:$H,$A80,'3-CHANGEMENTS LAMES'!$I:$I,$B80,'3-CHANGEMENTS LAMES'!$C:$C,$C80)</f>
        <v>19</v>
      </c>
      <c r="H80" s="13" t="str">
        <f>SUMIFS('2-SESSIONS SCIAGE'!$H:$H,'2-SESSIONS SCIAGE'!$I:$I,$A80,'2-SESSIONS SCIAGE'!$J:$J,$B80,'2-SESSIONS SCIAGE'!$C:$C,$C80)</f>
        <v>0</v>
      </c>
      <c r="I80" s="41" t="str">
        <f t="shared" si="1"/>
        <v>100</v>
      </c>
      <c r="J80" s="41" t="str">
        <f t="shared" si="2"/>
        <v>480</v>
      </c>
    </row>
    <row r="81" ht="14.25" customHeight="1">
      <c r="A81" s="40">
        <v>46176.0</v>
      </c>
      <c r="B81" s="11" t="s">
        <v>105</v>
      </c>
      <c r="C81" s="11" t="s">
        <v>27</v>
      </c>
      <c r="D81" s="13" t="str">
        <f>SUMIFS('2-SESSIONS SCIAGE'!$F:$F,'2-SESSIONS SCIAGE'!$I:$I,$A81,'2-SESSIONS SCIAGE'!$J:$J,$B81,'2-SESSIONS SCIAGE'!$C:$C,$C81,'2-SESSIONS SCIAGE'!$G:$G,"ok")</f>
        <v>406</v>
      </c>
      <c r="E81" s="13" t="str">
        <f>SUMIFS('2-SESSIONS SCIAGE'!$F:$F,'2-SESSIONS SCIAGE'!$I:$I,$A81,'2-SESSIONS SCIAGE'!$J:$J,$B81,'2-SESSIONS SCIAGE'!$C:$C,$C81,'2-SESSIONS SCIAGE'!$G:$G,"sciage un côté")+SUMIFS('2-SESSIONS SCIAGE'!$F:$F,'2-SESSIONS SCIAGE'!$I:$I,$A81,'2-SESSIONS SCIAGE'!$J:$J,$B81,'2-SESSIONS SCIAGE'!$C:$C,$C81,'2-SESSIONS SCIAGE'!$G:$G,"mauvaise épaisseur")+SUMIFS('2-SESSIONS SCIAGE'!$F:$F,'2-SESSIONS SCIAGE'!$I:$I,$A81,'2-SESSIONS SCIAGE'!$J:$J,$B81,'2-SESSIONS SCIAGE'!$C:$C,$C81,'2-SESSIONS SCIAGE'!$G:$G,"rayures")+SUMIFS('2-SESSIONS SCIAGE'!$F:$F,'2-SESSIONS SCIAGE'!$I:$I,$A81,'2-SESSIONS SCIAGE'!$J:$J,$B81,'2-SESSIONS SCIAGE'!$C:$C,$C81,'2-SESSIONS SCIAGE'!$G:$G,"deviation")</f>
        <v>25</v>
      </c>
      <c r="F81" s="13" t="str">
        <f>SUMIFS('2-SESSIONS SCIAGE'!$F:$F,'2-SESSIONS SCIAGE'!$I:$I,$A81,'2-SESSIONS SCIAGE'!$J:$J,$B81,'2-SESSIONS SCIAGE'!$C:$C,$C81,'2-SESSIONS SCIAGE'!$G:$G,"zéro")+SUMIFS('2-SESSIONS SCIAGE'!$F:$F,'2-SESSIONS SCIAGE'!$I:$I,$A81,'2-SESSIONS SCIAGE'!$J:$J,$B81,'2-SESSIONS SCIAGE'!$C:$C,$C81,'2-SESSIONS SCIAGE'!$G:$G,"panne mécanique")+SUMIFS('2-SESSIONS SCIAGE'!$F:$F,'2-SESSIONS SCIAGE'!$I:$I,$A81,'2-SESSIONS SCIAGE'!$J:$J,$B81,'2-SESSIONS SCIAGE'!$C:$C,$C81,'2-SESSIONS SCIAGE'!$G:$G,"panne électrique")</f>
        <v>0</v>
      </c>
      <c r="G81" s="13" t="str">
        <f>SUMIFS('3-CHANGEMENTS LAMES'!$F:$F,'3-CHANGEMENTS LAMES'!$H:$H,$A81,'3-CHANGEMENTS LAMES'!$I:$I,$B81,'3-CHANGEMENTS LAMES'!$C:$C,$C81)</f>
        <v>36</v>
      </c>
      <c r="H81" s="13" t="str">
        <f>SUMIFS('2-SESSIONS SCIAGE'!$H:$H,'2-SESSIONS SCIAGE'!$I:$I,$A81,'2-SESSIONS SCIAGE'!$J:$J,$B81,'2-SESSIONS SCIAGE'!$C:$C,$C81)</f>
        <v>7</v>
      </c>
      <c r="I81" s="41" t="str">
        <f t="shared" si="1"/>
        <v>43</v>
      </c>
      <c r="J81" s="41" t="str">
        <f t="shared" si="2"/>
        <v>474</v>
      </c>
    </row>
    <row r="82" ht="14.25" customHeight="1">
      <c r="A82" s="40">
        <v>46177.0</v>
      </c>
      <c r="B82" s="11" t="s">
        <v>106</v>
      </c>
      <c r="C82" s="11" t="s">
        <v>27</v>
      </c>
      <c r="D82" s="13" t="str">
        <f>SUMIFS('2-SESSIONS SCIAGE'!$F:$F,'2-SESSIONS SCIAGE'!$I:$I,$A82,'2-SESSIONS SCIAGE'!$J:$J,$B82,'2-SESSIONS SCIAGE'!$C:$C,$C82,'2-SESSIONS SCIAGE'!$G:$G,"ok")</f>
        <v>377</v>
      </c>
      <c r="E82" s="13" t="str">
        <f>SUMIFS('2-SESSIONS SCIAGE'!$F:$F,'2-SESSIONS SCIAGE'!$I:$I,$A82,'2-SESSIONS SCIAGE'!$J:$J,$B82,'2-SESSIONS SCIAGE'!$C:$C,$C82,'2-SESSIONS SCIAGE'!$G:$G,"sciage un côté")+SUMIFS('2-SESSIONS SCIAGE'!$F:$F,'2-SESSIONS SCIAGE'!$I:$I,$A82,'2-SESSIONS SCIAGE'!$J:$J,$B82,'2-SESSIONS SCIAGE'!$C:$C,$C82,'2-SESSIONS SCIAGE'!$G:$G,"mauvaise épaisseur")+SUMIFS('2-SESSIONS SCIAGE'!$F:$F,'2-SESSIONS SCIAGE'!$I:$I,$A82,'2-SESSIONS SCIAGE'!$J:$J,$B82,'2-SESSIONS SCIAGE'!$C:$C,$C82,'2-SESSIONS SCIAGE'!$G:$G,"rayures")+SUMIFS('2-SESSIONS SCIAGE'!$F:$F,'2-SESSIONS SCIAGE'!$I:$I,$A82,'2-SESSIONS SCIAGE'!$J:$J,$B82,'2-SESSIONS SCIAGE'!$C:$C,$C82,'2-SESSIONS SCIAGE'!$G:$G,"deviation")</f>
        <v>28</v>
      </c>
      <c r="F82" s="13" t="str">
        <f>SUMIFS('2-SESSIONS SCIAGE'!$F:$F,'2-SESSIONS SCIAGE'!$I:$I,$A82,'2-SESSIONS SCIAGE'!$J:$J,$B82,'2-SESSIONS SCIAGE'!$C:$C,$C82,'2-SESSIONS SCIAGE'!$G:$G,"zéro")+SUMIFS('2-SESSIONS SCIAGE'!$F:$F,'2-SESSIONS SCIAGE'!$I:$I,$A82,'2-SESSIONS SCIAGE'!$J:$J,$B82,'2-SESSIONS SCIAGE'!$C:$C,$C82,'2-SESSIONS SCIAGE'!$G:$G,"panne mécanique")+SUMIFS('2-SESSIONS SCIAGE'!$F:$F,'2-SESSIONS SCIAGE'!$I:$I,$A82,'2-SESSIONS SCIAGE'!$J:$J,$B82,'2-SESSIONS SCIAGE'!$C:$C,$C82,'2-SESSIONS SCIAGE'!$G:$G,"panne électrique")</f>
        <v>0</v>
      </c>
      <c r="G82" s="13" t="str">
        <f>SUMIFS('3-CHANGEMENTS LAMES'!$F:$F,'3-CHANGEMENTS LAMES'!$H:$H,$A82,'3-CHANGEMENTS LAMES'!$I:$I,$B82,'3-CHANGEMENTS LAMES'!$C:$C,$C82)</f>
        <v>15</v>
      </c>
      <c r="H82" s="13" t="str">
        <f>SUMIFS('2-SESSIONS SCIAGE'!$H:$H,'2-SESSIONS SCIAGE'!$I:$I,$A82,'2-SESSIONS SCIAGE'!$J:$J,$B82,'2-SESSIONS SCIAGE'!$C:$C,$C82)</f>
        <v>0</v>
      </c>
      <c r="I82" s="41" t="str">
        <f t="shared" si="1"/>
        <v>15</v>
      </c>
      <c r="J82" s="41" t="str">
        <f t="shared" si="2"/>
        <v>420</v>
      </c>
    </row>
    <row r="83" ht="14.25" customHeight="1">
      <c r="A83" s="40">
        <v>46177.0</v>
      </c>
      <c r="B83" s="11" t="s">
        <v>104</v>
      </c>
      <c r="C83" s="11" t="s">
        <v>27</v>
      </c>
      <c r="D83" s="13" t="str">
        <f>SUMIFS('2-SESSIONS SCIAGE'!$F:$F,'2-SESSIONS SCIAGE'!$I:$I,$A83,'2-SESSIONS SCIAGE'!$J:$J,$B83,'2-SESSIONS SCIAGE'!$C:$C,$C83,'2-SESSIONS SCIAGE'!$G:$G,"ok")</f>
        <v>270</v>
      </c>
      <c r="E83" s="13" t="str">
        <f>SUMIFS('2-SESSIONS SCIAGE'!$F:$F,'2-SESSIONS SCIAGE'!$I:$I,$A83,'2-SESSIONS SCIAGE'!$J:$J,$B83,'2-SESSIONS SCIAGE'!$C:$C,$C83,'2-SESSIONS SCIAGE'!$G:$G,"sciage un côté")+SUMIFS('2-SESSIONS SCIAGE'!$F:$F,'2-SESSIONS SCIAGE'!$I:$I,$A83,'2-SESSIONS SCIAGE'!$J:$J,$B83,'2-SESSIONS SCIAGE'!$C:$C,$C83,'2-SESSIONS SCIAGE'!$G:$G,"mauvaise épaisseur")+SUMIFS('2-SESSIONS SCIAGE'!$F:$F,'2-SESSIONS SCIAGE'!$I:$I,$A83,'2-SESSIONS SCIAGE'!$J:$J,$B83,'2-SESSIONS SCIAGE'!$C:$C,$C83,'2-SESSIONS SCIAGE'!$G:$G,"rayures")+SUMIFS('2-SESSIONS SCIAGE'!$F:$F,'2-SESSIONS SCIAGE'!$I:$I,$A83,'2-SESSIONS SCIAGE'!$J:$J,$B83,'2-SESSIONS SCIAGE'!$C:$C,$C83,'2-SESSIONS SCIAGE'!$G:$G,"deviation")</f>
        <v>168</v>
      </c>
      <c r="F83" s="13" t="str">
        <f>SUMIFS('2-SESSIONS SCIAGE'!$F:$F,'2-SESSIONS SCIAGE'!$I:$I,$A83,'2-SESSIONS SCIAGE'!$J:$J,$B83,'2-SESSIONS SCIAGE'!$C:$C,$C83,'2-SESSIONS SCIAGE'!$G:$G,"zéro")+SUMIFS('2-SESSIONS SCIAGE'!$F:$F,'2-SESSIONS SCIAGE'!$I:$I,$A83,'2-SESSIONS SCIAGE'!$J:$J,$B83,'2-SESSIONS SCIAGE'!$C:$C,$C83,'2-SESSIONS SCIAGE'!$G:$G,"panne mécanique")+SUMIFS('2-SESSIONS SCIAGE'!$F:$F,'2-SESSIONS SCIAGE'!$I:$I,$A83,'2-SESSIONS SCIAGE'!$J:$J,$B83,'2-SESSIONS SCIAGE'!$C:$C,$C83,'2-SESSIONS SCIAGE'!$G:$G,"panne électrique")</f>
        <v>0</v>
      </c>
      <c r="G83" s="13" t="str">
        <f>SUMIFS('3-CHANGEMENTS LAMES'!$F:$F,'3-CHANGEMENTS LAMES'!$H:$H,$A83,'3-CHANGEMENTS LAMES'!$I:$I,$B83,'3-CHANGEMENTS LAMES'!$C:$C,$C83)</f>
        <v>42</v>
      </c>
      <c r="H83" s="13" t="str">
        <f>SUMIFS('2-SESSIONS SCIAGE'!$H:$H,'2-SESSIONS SCIAGE'!$I:$I,$A83,'2-SESSIONS SCIAGE'!$J:$J,$B83,'2-SESSIONS SCIAGE'!$C:$C,$C83)</f>
        <v>0</v>
      </c>
      <c r="I83" s="41" t="str">
        <f t="shared" si="1"/>
        <v>42</v>
      </c>
      <c r="J83" s="41" t="str">
        <f t="shared" si="2"/>
        <v>480</v>
      </c>
    </row>
    <row r="84" ht="14.25" customHeight="1">
      <c r="A84" s="40">
        <v>46177.0</v>
      </c>
      <c r="B84" s="11" t="s">
        <v>105</v>
      </c>
      <c r="C84" s="11" t="s">
        <v>27</v>
      </c>
      <c r="D84" s="13" t="str">
        <f>SUMIFS('2-SESSIONS SCIAGE'!$F:$F,'2-SESSIONS SCIAGE'!$I:$I,$A84,'2-SESSIONS SCIAGE'!$J:$J,$B84,'2-SESSIONS SCIAGE'!$C:$C,$C84,'2-SESSIONS SCIAGE'!$G:$G,"ok")</f>
        <v>339</v>
      </c>
      <c r="E84" s="13" t="str">
        <f>SUMIFS('2-SESSIONS SCIAGE'!$F:$F,'2-SESSIONS SCIAGE'!$I:$I,$A84,'2-SESSIONS SCIAGE'!$J:$J,$B84,'2-SESSIONS SCIAGE'!$C:$C,$C84,'2-SESSIONS SCIAGE'!$G:$G,"sciage un côté")+SUMIFS('2-SESSIONS SCIAGE'!$F:$F,'2-SESSIONS SCIAGE'!$I:$I,$A84,'2-SESSIONS SCIAGE'!$J:$J,$B84,'2-SESSIONS SCIAGE'!$C:$C,$C84,'2-SESSIONS SCIAGE'!$G:$G,"mauvaise épaisseur")+SUMIFS('2-SESSIONS SCIAGE'!$F:$F,'2-SESSIONS SCIAGE'!$I:$I,$A84,'2-SESSIONS SCIAGE'!$J:$J,$B84,'2-SESSIONS SCIAGE'!$C:$C,$C84,'2-SESSIONS SCIAGE'!$G:$G,"rayures")+SUMIFS('2-SESSIONS SCIAGE'!$F:$F,'2-SESSIONS SCIAGE'!$I:$I,$A84,'2-SESSIONS SCIAGE'!$J:$J,$B84,'2-SESSIONS SCIAGE'!$C:$C,$C84,'2-SESSIONS SCIAGE'!$G:$G,"deviation")</f>
        <v>96</v>
      </c>
      <c r="F84" s="13" t="str">
        <f>SUMIFS('2-SESSIONS SCIAGE'!$F:$F,'2-SESSIONS SCIAGE'!$I:$I,$A84,'2-SESSIONS SCIAGE'!$J:$J,$B84,'2-SESSIONS SCIAGE'!$C:$C,$C84,'2-SESSIONS SCIAGE'!$G:$G,"zéro")+SUMIFS('2-SESSIONS SCIAGE'!$F:$F,'2-SESSIONS SCIAGE'!$I:$I,$A84,'2-SESSIONS SCIAGE'!$J:$J,$B84,'2-SESSIONS SCIAGE'!$C:$C,$C84,'2-SESSIONS SCIAGE'!$G:$G,"panne mécanique")+SUMIFS('2-SESSIONS SCIAGE'!$F:$F,'2-SESSIONS SCIAGE'!$I:$I,$A84,'2-SESSIONS SCIAGE'!$J:$J,$B84,'2-SESSIONS SCIAGE'!$C:$C,$C84,'2-SESSIONS SCIAGE'!$G:$G,"panne électrique")</f>
        <v>0</v>
      </c>
      <c r="G84" s="13" t="str">
        <f>SUMIFS('3-CHANGEMENTS LAMES'!$F:$F,'3-CHANGEMENTS LAMES'!$H:$H,$A84,'3-CHANGEMENTS LAMES'!$I:$I,$B84,'3-CHANGEMENTS LAMES'!$C:$C,$C84)</f>
        <v>23</v>
      </c>
      <c r="H84" s="13" t="str">
        <f>SUMIFS('2-SESSIONS SCIAGE'!$H:$H,'2-SESSIONS SCIAGE'!$I:$I,$A84,'2-SESSIONS SCIAGE'!$J:$J,$B84,'2-SESSIONS SCIAGE'!$C:$C,$C84)</f>
        <v>0</v>
      </c>
      <c r="I84" s="41" t="str">
        <f t="shared" si="1"/>
        <v>23</v>
      </c>
      <c r="J84" s="41" t="str">
        <f t="shared" si="2"/>
        <v>458</v>
      </c>
    </row>
    <row r="85" ht="14.25" customHeight="1">
      <c r="A85" s="40">
        <v>46178.0</v>
      </c>
      <c r="B85" s="11" t="s">
        <v>106</v>
      </c>
      <c r="C85" s="11" t="s">
        <v>27</v>
      </c>
      <c r="D85" s="13" t="str">
        <f>SUMIFS('2-SESSIONS SCIAGE'!$F:$F,'2-SESSIONS SCIAGE'!$I:$I,$A85,'2-SESSIONS SCIAGE'!$J:$J,$B85,'2-SESSIONS SCIAGE'!$C:$C,$C85,'2-SESSIONS SCIAGE'!$G:$G,"ok")</f>
        <v>0</v>
      </c>
      <c r="E85" s="13" t="str">
        <f>SUMIFS('2-SESSIONS SCIAGE'!$F:$F,'2-SESSIONS SCIAGE'!$I:$I,$A85,'2-SESSIONS SCIAGE'!$J:$J,$B85,'2-SESSIONS SCIAGE'!$C:$C,$C85,'2-SESSIONS SCIAGE'!$G:$G,"sciage un côté")+SUMIFS('2-SESSIONS SCIAGE'!$F:$F,'2-SESSIONS SCIAGE'!$I:$I,$A85,'2-SESSIONS SCIAGE'!$J:$J,$B85,'2-SESSIONS SCIAGE'!$C:$C,$C85,'2-SESSIONS SCIAGE'!$G:$G,"mauvaise épaisseur")+SUMIFS('2-SESSIONS SCIAGE'!$F:$F,'2-SESSIONS SCIAGE'!$I:$I,$A85,'2-SESSIONS SCIAGE'!$J:$J,$B85,'2-SESSIONS SCIAGE'!$C:$C,$C85,'2-SESSIONS SCIAGE'!$G:$G,"rayures")+SUMIFS('2-SESSIONS SCIAGE'!$F:$F,'2-SESSIONS SCIAGE'!$I:$I,$A85,'2-SESSIONS SCIAGE'!$J:$J,$B85,'2-SESSIONS SCIAGE'!$C:$C,$C85,'2-SESSIONS SCIAGE'!$G:$G,"deviation")</f>
        <v>0</v>
      </c>
      <c r="F85" s="13" t="str">
        <f>SUMIFS('2-SESSIONS SCIAGE'!$F:$F,'2-SESSIONS SCIAGE'!$I:$I,$A85,'2-SESSIONS SCIAGE'!$J:$J,$B85,'2-SESSIONS SCIAGE'!$C:$C,$C85,'2-SESSIONS SCIAGE'!$G:$G,"zéro")+SUMIFS('2-SESSIONS SCIAGE'!$F:$F,'2-SESSIONS SCIAGE'!$I:$I,$A85,'2-SESSIONS SCIAGE'!$J:$J,$B85,'2-SESSIONS SCIAGE'!$C:$C,$C85,'2-SESSIONS SCIAGE'!$G:$G,"panne mécanique")+SUMIFS('2-SESSIONS SCIAGE'!$F:$F,'2-SESSIONS SCIAGE'!$I:$I,$A85,'2-SESSIONS SCIAGE'!$J:$J,$B85,'2-SESSIONS SCIAGE'!$C:$C,$C85,'2-SESSIONS SCIAGE'!$G:$G,"panne électrique")</f>
        <v>60</v>
      </c>
      <c r="G85" s="13" t="str">
        <f>SUMIFS('3-CHANGEMENTS LAMES'!$F:$F,'3-CHANGEMENTS LAMES'!$H:$H,$A85,'3-CHANGEMENTS LAMES'!$I:$I,$B85,'3-CHANGEMENTS LAMES'!$C:$C,$C85)</f>
        <v>0</v>
      </c>
      <c r="H85" s="13" t="str">
        <f>SUMIFS('2-SESSIONS SCIAGE'!$H:$H,'2-SESSIONS SCIAGE'!$I:$I,$A85,'2-SESSIONS SCIAGE'!$J:$J,$B85,'2-SESSIONS SCIAGE'!$C:$C,$C85)</f>
        <v>0</v>
      </c>
      <c r="I85" s="41" t="str">
        <f t="shared" si="1"/>
        <v>60</v>
      </c>
      <c r="J85" s="41" t="str">
        <f t="shared" si="2"/>
        <v>60</v>
      </c>
    </row>
    <row r="86" ht="14.25" customHeight="1">
      <c r="A86" s="40">
        <v>46179.0</v>
      </c>
      <c r="B86" s="11" t="s">
        <v>104</v>
      </c>
      <c r="C86" s="11" t="s">
        <v>27</v>
      </c>
      <c r="D86" s="13" t="str">
        <f>SUMIFS('2-SESSIONS SCIAGE'!$F:$F,'2-SESSIONS SCIAGE'!$I:$I,$A86,'2-SESSIONS SCIAGE'!$J:$J,$B86,'2-SESSIONS SCIAGE'!$C:$C,$C86,'2-SESSIONS SCIAGE'!$G:$G,"ok")</f>
        <v>462</v>
      </c>
      <c r="E86" s="13" t="str">
        <f>SUMIFS('2-SESSIONS SCIAGE'!$F:$F,'2-SESSIONS SCIAGE'!$I:$I,$A86,'2-SESSIONS SCIAGE'!$J:$J,$B86,'2-SESSIONS SCIAGE'!$C:$C,$C86,'2-SESSIONS SCIAGE'!$G:$G,"sciage un côté")+SUMIFS('2-SESSIONS SCIAGE'!$F:$F,'2-SESSIONS SCIAGE'!$I:$I,$A86,'2-SESSIONS SCIAGE'!$J:$J,$B86,'2-SESSIONS SCIAGE'!$C:$C,$C86,'2-SESSIONS SCIAGE'!$G:$G,"mauvaise épaisseur")+SUMIFS('2-SESSIONS SCIAGE'!$F:$F,'2-SESSIONS SCIAGE'!$I:$I,$A86,'2-SESSIONS SCIAGE'!$J:$J,$B86,'2-SESSIONS SCIAGE'!$C:$C,$C86,'2-SESSIONS SCIAGE'!$G:$G,"rayures")+SUMIFS('2-SESSIONS SCIAGE'!$F:$F,'2-SESSIONS SCIAGE'!$I:$I,$A86,'2-SESSIONS SCIAGE'!$J:$J,$B86,'2-SESSIONS SCIAGE'!$C:$C,$C86,'2-SESSIONS SCIAGE'!$G:$G,"deviation")</f>
        <v>0</v>
      </c>
      <c r="F86" s="13" t="str">
        <f>SUMIFS('2-SESSIONS SCIAGE'!$F:$F,'2-SESSIONS SCIAGE'!$I:$I,$A86,'2-SESSIONS SCIAGE'!$J:$J,$B86,'2-SESSIONS SCIAGE'!$C:$C,$C86,'2-SESSIONS SCIAGE'!$G:$G,"zéro")+SUMIFS('2-SESSIONS SCIAGE'!$F:$F,'2-SESSIONS SCIAGE'!$I:$I,$A86,'2-SESSIONS SCIAGE'!$J:$J,$B86,'2-SESSIONS SCIAGE'!$C:$C,$C86,'2-SESSIONS SCIAGE'!$G:$G,"panne mécanique")+SUMIFS('2-SESSIONS SCIAGE'!$F:$F,'2-SESSIONS SCIAGE'!$I:$I,$A86,'2-SESSIONS SCIAGE'!$J:$J,$B86,'2-SESSIONS SCIAGE'!$C:$C,$C86,'2-SESSIONS SCIAGE'!$G:$G,"panne électrique")</f>
        <v>10</v>
      </c>
      <c r="G86" s="13" t="str">
        <f>SUMIFS('3-CHANGEMENTS LAMES'!$F:$F,'3-CHANGEMENTS LAMES'!$H:$H,$A86,'3-CHANGEMENTS LAMES'!$I:$I,$B86,'3-CHANGEMENTS LAMES'!$C:$C,$C86)</f>
        <v>18</v>
      </c>
      <c r="H86" s="13" t="str">
        <f>SUMIFS('2-SESSIONS SCIAGE'!$H:$H,'2-SESSIONS SCIAGE'!$I:$I,$A86,'2-SESSIONS SCIAGE'!$J:$J,$B86,'2-SESSIONS SCIAGE'!$C:$C,$C86)</f>
        <v>480</v>
      </c>
      <c r="I86" s="41" t="str">
        <f t="shared" si="1"/>
        <v>508</v>
      </c>
      <c r="J86" s="41" t="str">
        <f t="shared" si="2"/>
        <v>970</v>
      </c>
    </row>
    <row r="87" ht="14.25" customHeight="1">
      <c r="A87" s="40">
        <v>46179.0</v>
      </c>
      <c r="B87" s="11" t="s">
        <v>105</v>
      </c>
      <c r="C87" s="11" t="s">
        <v>27</v>
      </c>
      <c r="D87" s="13" t="str">
        <f>SUMIFS('2-SESSIONS SCIAGE'!$F:$F,'2-SESSIONS SCIAGE'!$I:$I,$A87,'2-SESSIONS SCIAGE'!$J:$J,$B87,'2-SESSIONS SCIAGE'!$C:$C,$C87,'2-SESSIONS SCIAGE'!$G:$G,"ok")</f>
        <v>352</v>
      </c>
      <c r="E87" s="13" t="str">
        <f>SUMIFS('2-SESSIONS SCIAGE'!$F:$F,'2-SESSIONS SCIAGE'!$I:$I,$A87,'2-SESSIONS SCIAGE'!$J:$J,$B87,'2-SESSIONS SCIAGE'!$C:$C,$C87,'2-SESSIONS SCIAGE'!$G:$G,"sciage un côté")+SUMIFS('2-SESSIONS SCIAGE'!$F:$F,'2-SESSIONS SCIAGE'!$I:$I,$A87,'2-SESSIONS SCIAGE'!$J:$J,$B87,'2-SESSIONS SCIAGE'!$C:$C,$C87,'2-SESSIONS SCIAGE'!$G:$G,"mauvaise épaisseur")+SUMIFS('2-SESSIONS SCIAGE'!$F:$F,'2-SESSIONS SCIAGE'!$I:$I,$A87,'2-SESSIONS SCIAGE'!$J:$J,$B87,'2-SESSIONS SCIAGE'!$C:$C,$C87,'2-SESSIONS SCIAGE'!$G:$G,"rayures")+SUMIFS('2-SESSIONS SCIAGE'!$F:$F,'2-SESSIONS SCIAGE'!$I:$I,$A87,'2-SESSIONS SCIAGE'!$J:$J,$B87,'2-SESSIONS SCIAGE'!$C:$C,$C87,'2-SESSIONS SCIAGE'!$G:$G,"deviation")</f>
        <v>59</v>
      </c>
      <c r="F87" s="13" t="str">
        <f>SUMIFS('2-SESSIONS SCIAGE'!$F:$F,'2-SESSIONS SCIAGE'!$I:$I,$A87,'2-SESSIONS SCIAGE'!$J:$J,$B87,'2-SESSIONS SCIAGE'!$C:$C,$C87,'2-SESSIONS SCIAGE'!$G:$G,"zéro")+SUMIFS('2-SESSIONS SCIAGE'!$F:$F,'2-SESSIONS SCIAGE'!$I:$I,$A87,'2-SESSIONS SCIAGE'!$J:$J,$B87,'2-SESSIONS SCIAGE'!$C:$C,$C87,'2-SESSIONS SCIAGE'!$G:$G,"panne mécanique")+SUMIFS('2-SESSIONS SCIAGE'!$F:$F,'2-SESSIONS SCIAGE'!$I:$I,$A87,'2-SESSIONS SCIAGE'!$J:$J,$B87,'2-SESSIONS SCIAGE'!$C:$C,$C87,'2-SESSIONS SCIAGE'!$G:$G,"panne électrique")</f>
        <v>0</v>
      </c>
      <c r="G87" s="13" t="str">
        <f>SUMIFS('3-CHANGEMENTS LAMES'!$F:$F,'3-CHANGEMENTS LAMES'!$H:$H,$A87,'3-CHANGEMENTS LAMES'!$I:$I,$B87,'3-CHANGEMENTS LAMES'!$C:$C,$C87)</f>
        <v>52</v>
      </c>
      <c r="H87" s="13" t="str">
        <f>SUMIFS('2-SESSIONS SCIAGE'!$H:$H,'2-SESSIONS SCIAGE'!$I:$I,$A87,'2-SESSIONS SCIAGE'!$J:$J,$B87,'2-SESSIONS SCIAGE'!$C:$C,$C87)</f>
        <v>18</v>
      </c>
      <c r="I87" s="41" t="str">
        <f t="shared" si="1"/>
        <v>70</v>
      </c>
      <c r="J87" s="41" t="str">
        <f t="shared" si="2"/>
        <v>481</v>
      </c>
    </row>
    <row r="88" ht="14.25" customHeight="1">
      <c r="A88" s="40">
        <v>46180.0</v>
      </c>
      <c r="B88" s="11" t="s">
        <v>106</v>
      </c>
      <c r="C88" s="11" t="s">
        <v>27</v>
      </c>
      <c r="D88" s="13" t="str">
        <f>SUMIFS('2-SESSIONS SCIAGE'!$F:$F,'2-SESSIONS SCIAGE'!$I:$I,$A88,'2-SESSIONS SCIAGE'!$J:$J,$B88,'2-SESSIONS SCIAGE'!$C:$C,$C88,'2-SESSIONS SCIAGE'!$G:$G,"ok")</f>
        <v>40</v>
      </c>
      <c r="E88" s="13" t="str">
        <f>SUMIFS('2-SESSIONS SCIAGE'!$F:$F,'2-SESSIONS SCIAGE'!$I:$I,$A88,'2-SESSIONS SCIAGE'!$J:$J,$B88,'2-SESSIONS SCIAGE'!$C:$C,$C88,'2-SESSIONS SCIAGE'!$G:$G,"sciage un côté")+SUMIFS('2-SESSIONS SCIAGE'!$F:$F,'2-SESSIONS SCIAGE'!$I:$I,$A88,'2-SESSIONS SCIAGE'!$J:$J,$B88,'2-SESSIONS SCIAGE'!$C:$C,$C88,'2-SESSIONS SCIAGE'!$G:$G,"mauvaise épaisseur")+SUMIFS('2-SESSIONS SCIAGE'!$F:$F,'2-SESSIONS SCIAGE'!$I:$I,$A88,'2-SESSIONS SCIAGE'!$J:$J,$B88,'2-SESSIONS SCIAGE'!$C:$C,$C88,'2-SESSIONS SCIAGE'!$G:$G,"rayures")+SUMIFS('2-SESSIONS SCIAGE'!$F:$F,'2-SESSIONS SCIAGE'!$I:$I,$A88,'2-SESSIONS SCIAGE'!$J:$J,$B88,'2-SESSIONS SCIAGE'!$C:$C,$C88,'2-SESSIONS SCIAGE'!$G:$G,"deviation")</f>
        <v>0</v>
      </c>
      <c r="F88" s="13" t="str">
        <f>SUMIFS('2-SESSIONS SCIAGE'!$F:$F,'2-SESSIONS SCIAGE'!$I:$I,$A88,'2-SESSIONS SCIAGE'!$J:$J,$B88,'2-SESSIONS SCIAGE'!$C:$C,$C88,'2-SESSIONS SCIAGE'!$G:$G,"zéro")+SUMIFS('2-SESSIONS SCIAGE'!$F:$F,'2-SESSIONS SCIAGE'!$I:$I,$A88,'2-SESSIONS SCIAGE'!$J:$J,$B88,'2-SESSIONS SCIAGE'!$C:$C,$C88,'2-SESSIONS SCIAGE'!$G:$G,"panne mécanique")+SUMIFS('2-SESSIONS SCIAGE'!$F:$F,'2-SESSIONS SCIAGE'!$I:$I,$A88,'2-SESSIONS SCIAGE'!$J:$J,$B88,'2-SESSIONS SCIAGE'!$C:$C,$C88,'2-SESSIONS SCIAGE'!$G:$G,"panne électrique")</f>
        <v>236</v>
      </c>
      <c r="G88" s="13" t="str">
        <f>SUMIFS('3-CHANGEMENTS LAMES'!$F:$F,'3-CHANGEMENTS LAMES'!$H:$H,$A88,'3-CHANGEMENTS LAMES'!$I:$I,$B88,'3-CHANGEMENTS LAMES'!$C:$C,$C88)</f>
        <v>29</v>
      </c>
      <c r="H88" s="13" t="str">
        <f>SUMIFS('2-SESSIONS SCIAGE'!$H:$H,'2-SESSIONS SCIAGE'!$I:$I,$A88,'2-SESSIONS SCIAGE'!$J:$J,$B88,'2-SESSIONS SCIAGE'!$C:$C,$C88)</f>
        <v>0</v>
      </c>
      <c r="I88" s="41" t="str">
        <f t="shared" si="1"/>
        <v>265</v>
      </c>
      <c r="J88" s="41" t="str">
        <f t="shared" si="2"/>
        <v>305</v>
      </c>
    </row>
    <row r="89" ht="14.25" customHeight="1">
      <c r="A89" s="40">
        <v>46180.0</v>
      </c>
      <c r="B89" s="11" t="s">
        <v>104</v>
      </c>
      <c r="C89" s="11" t="s">
        <v>27</v>
      </c>
      <c r="D89" s="13" t="str">
        <f>SUMIFS('2-SESSIONS SCIAGE'!$F:$F,'2-SESSIONS SCIAGE'!$I:$I,$A89,'2-SESSIONS SCIAGE'!$J:$J,$B89,'2-SESSIONS SCIAGE'!$C:$C,$C89,'2-SESSIONS SCIAGE'!$G:$G,"ok")</f>
        <v>396</v>
      </c>
      <c r="E89" s="13" t="str">
        <f>SUMIFS('2-SESSIONS SCIAGE'!$F:$F,'2-SESSIONS SCIAGE'!$I:$I,$A89,'2-SESSIONS SCIAGE'!$J:$J,$B89,'2-SESSIONS SCIAGE'!$C:$C,$C89,'2-SESSIONS SCIAGE'!$G:$G,"sciage un côté")+SUMIFS('2-SESSIONS SCIAGE'!$F:$F,'2-SESSIONS SCIAGE'!$I:$I,$A89,'2-SESSIONS SCIAGE'!$J:$J,$B89,'2-SESSIONS SCIAGE'!$C:$C,$C89,'2-SESSIONS SCIAGE'!$G:$G,"mauvaise épaisseur")+SUMIFS('2-SESSIONS SCIAGE'!$F:$F,'2-SESSIONS SCIAGE'!$I:$I,$A89,'2-SESSIONS SCIAGE'!$J:$J,$B89,'2-SESSIONS SCIAGE'!$C:$C,$C89,'2-SESSIONS SCIAGE'!$G:$G,"rayures")+SUMIFS('2-SESSIONS SCIAGE'!$F:$F,'2-SESSIONS SCIAGE'!$I:$I,$A89,'2-SESSIONS SCIAGE'!$J:$J,$B89,'2-SESSIONS SCIAGE'!$C:$C,$C89,'2-SESSIONS SCIAGE'!$G:$G,"deviation")</f>
        <v>41</v>
      </c>
      <c r="F89" s="13" t="str">
        <f>SUMIFS('2-SESSIONS SCIAGE'!$F:$F,'2-SESSIONS SCIAGE'!$I:$I,$A89,'2-SESSIONS SCIAGE'!$J:$J,$B89,'2-SESSIONS SCIAGE'!$C:$C,$C89,'2-SESSIONS SCIAGE'!$G:$G,"zéro")+SUMIFS('2-SESSIONS SCIAGE'!$F:$F,'2-SESSIONS SCIAGE'!$I:$I,$A89,'2-SESSIONS SCIAGE'!$J:$J,$B89,'2-SESSIONS SCIAGE'!$C:$C,$C89,'2-SESSIONS SCIAGE'!$G:$G,"panne mécanique")+SUMIFS('2-SESSIONS SCIAGE'!$F:$F,'2-SESSIONS SCIAGE'!$I:$I,$A89,'2-SESSIONS SCIAGE'!$J:$J,$B89,'2-SESSIONS SCIAGE'!$C:$C,$C89,'2-SESSIONS SCIAGE'!$G:$G,"panne électrique")</f>
        <v>0</v>
      </c>
      <c r="G89" s="13" t="str">
        <f>SUMIFS('3-CHANGEMENTS LAMES'!$F:$F,'3-CHANGEMENTS LAMES'!$H:$H,$A89,'3-CHANGEMENTS LAMES'!$I:$I,$B89,'3-CHANGEMENTS LAMES'!$C:$C,$C89)</f>
        <v>43</v>
      </c>
      <c r="H89" s="13" t="str">
        <f>SUMIFS('2-SESSIONS SCIAGE'!$H:$H,'2-SESSIONS SCIAGE'!$I:$I,$A89,'2-SESSIONS SCIAGE'!$J:$J,$B89,'2-SESSIONS SCIAGE'!$C:$C,$C89)</f>
        <v>0</v>
      </c>
      <c r="I89" s="41" t="str">
        <f t="shared" si="1"/>
        <v>43</v>
      </c>
      <c r="J89" s="41" t="str">
        <f t="shared" si="2"/>
        <v>480</v>
      </c>
    </row>
    <row r="90" ht="14.25" customHeight="1">
      <c r="A90" s="40">
        <v>46180.0</v>
      </c>
      <c r="B90" s="11" t="s">
        <v>105</v>
      </c>
      <c r="C90" s="11" t="s">
        <v>27</v>
      </c>
      <c r="D90" s="13" t="str">
        <f>SUMIFS('2-SESSIONS SCIAGE'!$F:$F,'2-SESSIONS SCIAGE'!$I:$I,$A90,'2-SESSIONS SCIAGE'!$J:$J,$B90,'2-SESSIONS SCIAGE'!$C:$C,$C90,'2-SESSIONS SCIAGE'!$G:$G,"ok")</f>
        <v>373</v>
      </c>
      <c r="E90" s="13" t="str">
        <f>SUMIFS('2-SESSIONS SCIAGE'!$F:$F,'2-SESSIONS SCIAGE'!$I:$I,$A90,'2-SESSIONS SCIAGE'!$J:$J,$B90,'2-SESSIONS SCIAGE'!$C:$C,$C90,'2-SESSIONS SCIAGE'!$G:$G,"sciage un côté")+SUMIFS('2-SESSIONS SCIAGE'!$F:$F,'2-SESSIONS SCIAGE'!$I:$I,$A90,'2-SESSIONS SCIAGE'!$J:$J,$B90,'2-SESSIONS SCIAGE'!$C:$C,$C90,'2-SESSIONS SCIAGE'!$G:$G,"mauvaise épaisseur")+SUMIFS('2-SESSIONS SCIAGE'!$F:$F,'2-SESSIONS SCIAGE'!$I:$I,$A90,'2-SESSIONS SCIAGE'!$J:$J,$B90,'2-SESSIONS SCIAGE'!$C:$C,$C90,'2-SESSIONS SCIAGE'!$G:$G,"rayures")+SUMIFS('2-SESSIONS SCIAGE'!$F:$F,'2-SESSIONS SCIAGE'!$I:$I,$A90,'2-SESSIONS SCIAGE'!$J:$J,$B90,'2-SESSIONS SCIAGE'!$C:$C,$C90,'2-SESSIONS SCIAGE'!$G:$G,"deviation")</f>
        <v>74</v>
      </c>
      <c r="F90" s="13" t="str">
        <f>SUMIFS('2-SESSIONS SCIAGE'!$F:$F,'2-SESSIONS SCIAGE'!$I:$I,$A90,'2-SESSIONS SCIAGE'!$J:$J,$B90,'2-SESSIONS SCIAGE'!$C:$C,$C90,'2-SESSIONS SCIAGE'!$G:$G,"zéro")+SUMIFS('2-SESSIONS SCIAGE'!$F:$F,'2-SESSIONS SCIAGE'!$I:$I,$A90,'2-SESSIONS SCIAGE'!$J:$J,$B90,'2-SESSIONS SCIAGE'!$C:$C,$C90,'2-SESSIONS SCIAGE'!$G:$G,"panne mécanique")+SUMIFS('2-SESSIONS SCIAGE'!$F:$F,'2-SESSIONS SCIAGE'!$I:$I,$A90,'2-SESSIONS SCIAGE'!$J:$J,$B90,'2-SESSIONS SCIAGE'!$C:$C,$C90,'2-SESSIONS SCIAGE'!$G:$G,"panne électrique")</f>
        <v>0</v>
      </c>
      <c r="G90" s="13" t="str">
        <f>SUMIFS('3-CHANGEMENTS LAMES'!$F:$F,'3-CHANGEMENTS LAMES'!$H:$H,$A90,'3-CHANGEMENTS LAMES'!$I:$I,$B90,'3-CHANGEMENTS LAMES'!$C:$C,$C90)</f>
        <v>25</v>
      </c>
      <c r="H90" s="13" t="str">
        <f>SUMIFS('2-SESSIONS SCIAGE'!$H:$H,'2-SESSIONS SCIAGE'!$I:$I,$A90,'2-SESSIONS SCIAGE'!$J:$J,$B90,'2-SESSIONS SCIAGE'!$C:$C,$C90)</f>
        <v>0</v>
      </c>
      <c r="I90" s="41" t="str">
        <f t="shared" si="1"/>
        <v>25</v>
      </c>
      <c r="J90" s="41" t="str">
        <f t="shared" si="2"/>
        <v>472</v>
      </c>
    </row>
    <row r="91" ht="14.25" customHeight="1">
      <c r="A91" s="40">
        <v>46181.0</v>
      </c>
      <c r="B91" s="11" t="s">
        <v>106</v>
      </c>
      <c r="C91" s="11" t="s">
        <v>27</v>
      </c>
      <c r="D91" s="13" t="str">
        <f>SUMIFS('2-SESSIONS SCIAGE'!$F:$F,'2-SESSIONS SCIAGE'!$I:$I,$A91,'2-SESSIONS SCIAGE'!$J:$J,$B91,'2-SESSIONS SCIAGE'!$C:$C,$C91,'2-SESSIONS SCIAGE'!$G:$G,"ok")</f>
        <v>261</v>
      </c>
      <c r="E91" s="13" t="str">
        <f>SUMIFS('2-SESSIONS SCIAGE'!$F:$F,'2-SESSIONS SCIAGE'!$I:$I,$A91,'2-SESSIONS SCIAGE'!$J:$J,$B91,'2-SESSIONS SCIAGE'!$C:$C,$C91,'2-SESSIONS SCIAGE'!$G:$G,"sciage un côté")+SUMIFS('2-SESSIONS SCIAGE'!$F:$F,'2-SESSIONS SCIAGE'!$I:$I,$A91,'2-SESSIONS SCIAGE'!$J:$J,$B91,'2-SESSIONS SCIAGE'!$C:$C,$C91,'2-SESSIONS SCIAGE'!$G:$G,"mauvaise épaisseur")+SUMIFS('2-SESSIONS SCIAGE'!$F:$F,'2-SESSIONS SCIAGE'!$I:$I,$A91,'2-SESSIONS SCIAGE'!$J:$J,$B91,'2-SESSIONS SCIAGE'!$C:$C,$C91,'2-SESSIONS SCIAGE'!$G:$G,"rayures")+SUMIFS('2-SESSIONS SCIAGE'!$F:$F,'2-SESSIONS SCIAGE'!$I:$I,$A91,'2-SESSIONS SCIAGE'!$J:$J,$B91,'2-SESSIONS SCIAGE'!$C:$C,$C91,'2-SESSIONS SCIAGE'!$G:$G,"deviation")</f>
        <v>0</v>
      </c>
      <c r="F91" s="13" t="str">
        <f>SUMIFS('2-SESSIONS SCIAGE'!$F:$F,'2-SESSIONS SCIAGE'!$I:$I,$A91,'2-SESSIONS SCIAGE'!$J:$J,$B91,'2-SESSIONS SCIAGE'!$C:$C,$C91,'2-SESSIONS SCIAGE'!$G:$G,"zéro")+SUMIFS('2-SESSIONS SCIAGE'!$F:$F,'2-SESSIONS SCIAGE'!$I:$I,$A91,'2-SESSIONS SCIAGE'!$J:$J,$B91,'2-SESSIONS SCIAGE'!$C:$C,$C91,'2-SESSIONS SCIAGE'!$G:$G,"panne mécanique")+SUMIFS('2-SESSIONS SCIAGE'!$F:$F,'2-SESSIONS SCIAGE'!$I:$I,$A91,'2-SESSIONS SCIAGE'!$J:$J,$B91,'2-SESSIONS SCIAGE'!$C:$C,$C91,'2-SESSIONS SCIAGE'!$G:$G,"panne électrique")</f>
        <v>62</v>
      </c>
      <c r="G91" s="13" t="str">
        <f>SUMIFS('3-CHANGEMENTS LAMES'!$F:$F,'3-CHANGEMENTS LAMES'!$H:$H,$A91,'3-CHANGEMENTS LAMES'!$I:$I,$B91,'3-CHANGEMENTS LAMES'!$C:$C,$C91)</f>
        <v>59</v>
      </c>
      <c r="H91" s="13" t="str">
        <f>SUMIFS('2-SESSIONS SCIAGE'!$H:$H,'2-SESSIONS SCIAGE'!$I:$I,$A91,'2-SESSIONS SCIAGE'!$J:$J,$B91,'2-SESSIONS SCIAGE'!$C:$C,$C91)</f>
        <v>10</v>
      </c>
      <c r="I91" s="41" t="str">
        <f t="shared" si="1"/>
        <v>131</v>
      </c>
      <c r="J91" s="41" t="str">
        <f t="shared" si="2"/>
        <v>392</v>
      </c>
    </row>
    <row r="92" ht="14.25" customHeight="1">
      <c r="A92" s="40">
        <v>46181.0</v>
      </c>
      <c r="B92" s="11" t="s">
        <v>104</v>
      </c>
      <c r="C92" s="11" t="s">
        <v>27</v>
      </c>
      <c r="D92" s="13" t="str">
        <f>SUMIFS('2-SESSIONS SCIAGE'!$F:$F,'2-SESSIONS SCIAGE'!$I:$I,$A92,'2-SESSIONS SCIAGE'!$J:$J,$B92,'2-SESSIONS SCIAGE'!$C:$C,$C92,'2-SESSIONS SCIAGE'!$G:$G,"ok")</f>
        <v>305</v>
      </c>
      <c r="E92" s="13" t="str">
        <f>SUMIFS('2-SESSIONS SCIAGE'!$F:$F,'2-SESSIONS SCIAGE'!$I:$I,$A92,'2-SESSIONS SCIAGE'!$J:$J,$B92,'2-SESSIONS SCIAGE'!$C:$C,$C92,'2-SESSIONS SCIAGE'!$G:$G,"sciage un côté")+SUMIFS('2-SESSIONS SCIAGE'!$F:$F,'2-SESSIONS SCIAGE'!$I:$I,$A92,'2-SESSIONS SCIAGE'!$J:$J,$B92,'2-SESSIONS SCIAGE'!$C:$C,$C92,'2-SESSIONS SCIAGE'!$G:$G,"mauvaise épaisseur")+SUMIFS('2-SESSIONS SCIAGE'!$F:$F,'2-SESSIONS SCIAGE'!$I:$I,$A92,'2-SESSIONS SCIAGE'!$J:$J,$B92,'2-SESSIONS SCIAGE'!$C:$C,$C92,'2-SESSIONS SCIAGE'!$G:$G,"rayures")+SUMIFS('2-SESSIONS SCIAGE'!$F:$F,'2-SESSIONS SCIAGE'!$I:$I,$A92,'2-SESSIONS SCIAGE'!$J:$J,$B92,'2-SESSIONS SCIAGE'!$C:$C,$C92,'2-SESSIONS SCIAGE'!$G:$G,"deviation")</f>
        <v>140</v>
      </c>
      <c r="F92" s="13" t="str">
        <f>SUMIFS('2-SESSIONS SCIAGE'!$F:$F,'2-SESSIONS SCIAGE'!$I:$I,$A92,'2-SESSIONS SCIAGE'!$J:$J,$B92,'2-SESSIONS SCIAGE'!$C:$C,$C92,'2-SESSIONS SCIAGE'!$G:$G,"zéro")+SUMIFS('2-SESSIONS SCIAGE'!$F:$F,'2-SESSIONS SCIAGE'!$I:$I,$A92,'2-SESSIONS SCIAGE'!$J:$J,$B92,'2-SESSIONS SCIAGE'!$C:$C,$C92,'2-SESSIONS SCIAGE'!$G:$G,"panne mécanique")+SUMIFS('2-SESSIONS SCIAGE'!$F:$F,'2-SESSIONS SCIAGE'!$I:$I,$A92,'2-SESSIONS SCIAGE'!$J:$J,$B92,'2-SESSIONS SCIAGE'!$C:$C,$C92,'2-SESSIONS SCIAGE'!$G:$G,"panne électrique")</f>
        <v>0</v>
      </c>
      <c r="G92" s="13" t="str">
        <f>SUMIFS('3-CHANGEMENTS LAMES'!$F:$F,'3-CHANGEMENTS LAMES'!$H:$H,$A92,'3-CHANGEMENTS LAMES'!$I:$I,$B92,'3-CHANGEMENTS LAMES'!$C:$C,$C92)</f>
        <v>31</v>
      </c>
      <c r="H92" s="13" t="str">
        <f>SUMIFS('2-SESSIONS SCIAGE'!$H:$H,'2-SESSIONS SCIAGE'!$I:$I,$A92,'2-SESSIONS SCIAGE'!$J:$J,$B92,'2-SESSIONS SCIAGE'!$C:$C,$C92)</f>
        <v>16</v>
      </c>
      <c r="I92" s="41" t="str">
        <f t="shared" si="1"/>
        <v>47</v>
      </c>
      <c r="J92" s="41" t="str">
        <f t="shared" si="2"/>
        <v>492</v>
      </c>
    </row>
    <row r="93" ht="14.25" customHeight="1">
      <c r="A93" s="40">
        <v>46181.0</v>
      </c>
      <c r="B93" s="11" t="s">
        <v>105</v>
      </c>
      <c r="C93" s="11" t="s">
        <v>27</v>
      </c>
      <c r="D93" s="13" t="str">
        <f>SUMIFS('2-SESSIONS SCIAGE'!$F:$F,'2-SESSIONS SCIAGE'!$I:$I,$A93,'2-SESSIONS SCIAGE'!$J:$J,$B93,'2-SESSIONS SCIAGE'!$C:$C,$C93,'2-SESSIONS SCIAGE'!$G:$G,"ok")</f>
        <v>319</v>
      </c>
      <c r="E93" s="13" t="str">
        <f>SUMIFS('2-SESSIONS SCIAGE'!$F:$F,'2-SESSIONS SCIAGE'!$I:$I,$A93,'2-SESSIONS SCIAGE'!$J:$J,$B93,'2-SESSIONS SCIAGE'!$C:$C,$C93,'2-SESSIONS SCIAGE'!$G:$G,"sciage un côté")+SUMIFS('2-SESSIONS SCIAGE'!$F:$F,'2-SESSIONS SCIAGE'!$I:$I,$A93,'2-SESSIONS SCIAGE'!$J:$J,$B93,'2-SESSIONS SCIAGE'!$C:$C,$C93,'2-SESSIONS SCIAGE'!$G:$G,"mauvaise épaisseur")+SUMIFS('2-SESSIONS SCIAGE'!$F:$F,'2-SESSIONS SCIAGE'!$I:$I,$A93,'2-SESSIONS SCIAGE'!$J:$J,$B93,'2-SESSIONS SCIAGE'!$C:$C,$C93,'2-SESSIONS SCIAGE'!$G:$G,"rayures")+SUMIFS('2-SESSIONS SCIAGE'!$F:$F,'2-SESSIONS SCIAGE'!$I:$I,$A93,'2-SESSIONS SCIAGE'!$J:$J,$B93,'2-SESSIONS SCIAGE'!$C:$C,$C93,'2-SESSIONS SCIAGE'!$G:$G,"deviation")</f>
        <v>71</v>
      </c>
      <c r="F93" s="13" t="str">
        <f>SUMIFS('2-SESSIONS SCIAGE'!$F:$F,'2-SESSIONS SCIAGE'!$I:$I,$A93,'2-SESSIONS SCIAGE'!$J:$J,$B93,'2-SESSIONS SCIAGE'!$C:$C,$C93,'2-SESSIONS SCIAGE'!$G:$G,"zéro")+SUMIFS('2-SESSIONS SCIAGE'!$F:$F,'2-SESSIONS SCIAGE'!$I:$I,$A93,'2-SESSIONS SCIAGE'!$J:$J,$B93,'2-SESSIONS SCIAGE'!$C:$C,$C93,'2-SESSIONS SCIAGE'!$G:$G,"panne mécanique")+SUMIFS('2-SESSIONS SCIAGE'!$F:$F,'2-SESSIONS SCIAGE'!$I:$I,$A93,'2-SESSIONS SCIAGE'!$J:$J,$B93,'2-SESSIONS SCIAGE'!$C:$C,$C93,'2-SESSIONS SCIAGE'!$G:$G,"panne électrique")</f>
        <v>0</v>
      </c>
      <c r="G93" s="13" t="str">
        <f>SUMIFS('3-CHANGEMENTS LAMES'!$F:$F,'3-CHANGEMENTS LAMES'!$H:$H,$A93,'3-CHANGEMENTS LAMES'!$I:$I,$B93,'3-CHANGEMENTS LAMES'!$C:$C,$C93)</f>
        <v>64</v>
      </c>
      <c r="H93" s="13" t="str">
        <f>SUMIFS('2-SESSIONS SCIAGE'!$H:$H,'2-SESSIONS SCIAGE'!$I:$I,$A93,'2-SESSIONS SCIAGE'!$J:$J,$B93,'2-SESSIONS SCIAGE'!$C:$C,$C93)</f>
        <v>0</v>
      </c>
      <c r="I93" s="41" t="str">
        <f t="shared" si="1"/>
        <v>64</v>
      </c>
      <c r="J93" s="41" t="str">
        <f t="shared" si="2"/>
        <v>454</v>
      </c>
    </row>
    <row r="94" ht="14.25" customHeight="1">
      <c r="A94" s="40">
        <v>46182.0</v>
      </c>
      <c r="B94" s="11" t="s">
        <v>106</v>
      </c>
      <c r="C94" s="11" t="s">
        <v>27</v>
      </c>
      <c r="D94" s="13" t="str">
        <f>SUMIFS('2-SESSIONS SCIAGE'!$F:$F,'2-SESSIONS SCIAGE'!$I:$I,$A94,'2-SESSIONS SCIAGE'!$J:$J,$B94,'2-SESSIONS SCIAGE'!$C:$C,$C94,'2-SESSIONS SCIAGE'!$G:$G,"ok")</f>
        <v>186</v>
      </c>
      <c r="E94" s="13" t="str">
        <f>SUMIFS('2-SESSIONS SCIAGE'!$F:$F,'2-SESSIONS SCIAGE'!$I:$I,$A94,'2-SESSIONS SCIAGE'!$J:$J,$B94,'2-SESSIONS SCIAGE'!$C:$C,$C94,'2-SESSIONS SCIAGE'!$G:$G,"sciage un côté")+SUMIFS('2-SESSIONS SCIAGE'!$F:$F,'2-SESSIONS SCIAGE'!$I:$I,$A94,'2-SESSIONS SCIAGE'!$J:$J,$B94,'2-SESSIONS SCIAGE'!$C:$C,$C94,'2-SESSIONS SCIAGE'!$G:$G,"mauvaise épaisseur")+SUMIFS('2-SESSIONS SCIAGE'!$F:$F,'2-SESSIONS SCIAGE'!$I:$I,$A94,'2-SESSIONS SCIAGE'!$J:$J,$B94,'2-SESSIONS SCIAGE'!$C:$C,$C94,'2-SESSIONS SCIAGE'!$G:$G,"rayures")+SUMIFS('2-SESSIONS SCIAGE'!$F:$F,'2-SESSIONS SCIAGE'!$I:$I,$A94,'2-SESSIONS SCIAGE'!$J:$J,$B94,'2-SESSIONS SCIAGE'!$C:$C,$C94,'2-SESSIONS SCIAGE'!$G:$G,"deviation")</f>
        <v>23</v>
      </c>
      <c r="F94" s="13" t="str">
        <f>SUMIFS('2-SESSIONS SCIAGE'!$F:$F,'2-SESSIONS SCIAGE'!$I:$I,$A94,'2-SESSIONS SCIAGE'!$J:$J,$B94,'2-SESSIONS SCIAGE'!$C:$C,$C94,'2-SESSIONS SCIAGE'!$G:$G,"zéro")+SUMIFS('2-SESSIONS SCIAGE'!$F:$F,'2-SESSIONS SCIAGE'!$I:$I,$A94,'2-SESSIONS SCIAGE'!$J:$J,$B94,'2-SESSIONS SCIAGE'!$C:$C,$C94,'2-SESSIONS SCIAGE'!$G:$G,"panne mécanique")+SUMIFS('2-SESSIONS SCIAGE'!$F:$F,'2-SESSIONS SCIAGE'!$I:$I,$A94,'2-SESSIONS SCIAGE'!$J:$J,$B94,'2-SESSIONS SCIAGE'!$C:$C,$C94,'2-SESSIONS SCIAGE'!$G:$G,"panne électrique")</f>
        <v>138</v>
      </c>
      <c r="G94" s="13" t="str">
        <f>SUMIFS('3-CHANGEMENTS LAMES'!$F:$F,'3-CHANGEMENTS LAMES'!$H:$H,$A94,'3-CHANGEMENTS LAMES'!$I:$I,$B94,'3-CHANGEMENTS LAMES'!$C:$C,$C94)</f>
        <v>43</v>
      </c>
      <c r="H94" s="13" t="str">
        <f>SUMIFS('2-SESSIONS SCIAGE'!$H:$H,'2-SESSIONS SCIAGE'!$I:$I,$A94,'2-SESSIONS SCIAGE'!$J:$J,$B94,'2-SESSIONS SCIAGE'!$C:$C,$C94)</f>
        <v>10</v>
      </c>
      <c r="I94" s="41" t="str">
        <f t="shared" si="1"/>
        <v>191</v>
      </c>
      <c r="J94" s="41" t="str">
        <f t="shared" si="2"/>
        <v>400</v>
      </c>
    </row>
    <row r="95" ht="14.25" customHeight="1">
      <c r="A95" s="40">
        <v>46182.0</v>
      </c>
      <c r="B95" s="11" t="s">
        <v>104</v>
      </c>
      <c r="C95" s="11" t="s">
        <v>27</v>
      </c>
      <c r="D95" s="13" t="str">
        <f>SUMIFS('2-SESSIONS SCIAGE'!$F:$F,'2-SESSIONS SCIAGE'!$I:$I,$A95,'2-SESSIONS SCIAGE'!$J:$J,$B95,'2-SESSIONS SCIAGE'!$C:$C,$C95,'2-SESSIONS SCIAGE'!$G:$G,"ok")</f>
        <v>74</v>
      </c>
      <c r="E95" s="13" t="str">
        <f>SUMIFS('2-SESSIONS SCIAGE'!$F:$F,'2-SESSIONS SCIAGE'!$I:$I,$A95,'2-SESSIONS SCIAGE'!$J:$J,$B95,'2-SESSIONS SCIAGE'!$C:$C,$C95,'2-SESSIONS SCIAGE'!$G:$G,"sciage un côté")+SUMIFS('2-SESSIONS SCIAGE'!$F:$F,'2-SESSIONS SCIAGE'!$I:$I,$A95,'2-SESSIONS SCIAGE'!$J:$J,$B95,'2-SESSIONS SCIAGE'!$C:$C,$C95,'2-SESSIONS SCIAGE'!$G:$G,"mauvaise épaisseur")+SUMIFS('2-SESSIONS SCIAGE'!$F:$F,'2-SESSIONS SCIAGE'!$I:$I,$A95,'2-SESSIONS SCIAGE'!$J:$J,$B95,'2-SESSIONS SCIAGE'!$C:$C,$C95,'2-SESSIONS SCIAGE'!$G:$G,"rayures")+SUMIFS('2-SESSIONS SCIAGE'!$F:$F,'2-SESSIONS SCIAGE'!$I:$I,$A95,'2-SESSIONS SCIAGE'!$J:$J,$B95,'2-SESSIONS SCIAGE'!$C:$C,$C95,'2-SESSIONS SCIAGE'!$G:$G,"deviation")</f>
        <v>226</v>
      </c>
      <c r="F95" s="13" t="str">
        <f>SUMIFS('2-SESSIONS SCIAGE'!$F:$F,'2-SESSIONS SCIAGE'!$I:$I,$A95,'2-SESSIONS SCIAGE'!$J:$J,$B95,'2-SESSIONS SCIAGE'!$C:$C,$C95,'2-SESSIONS SCIAGE'!$G:$G,"zéro")+SUMIFS('2-SESSIONS SCIAGE'!$F:$F,'2-SESSIONS SCIAGE'!$I:$I,$A95,'2-SESSIONS SCIAGE'!$J:$J,$B95,'2-SESSIONS SCIAGE'!$C:$C,$C95,'2-SESSIONS SCIAGE'!$G:$G,"panne mécanique")+SUMIFS('2-SESSIONS SCIAGE'!$F:$F,'2-SESSIONS SCIAGE'!$I:$I,$A95,'2-SESSIONS SCIAGE'!$J:$J,$B95,'2-SESSIONS SCIAGE'!$C:$C,$C95,'2-SESSIONS SCIAGE'!$G:$G,"panne électrique")</f>
        <v>0</v>
      </c>
      <c r="G95" s="13" t="str">
        <f>SUMIFS('3-CHANGEMENTS LAMES'!$F:$F,'3-CHANGEMENTS LAMES'!$H:$H,$A95,'3-CHANGEMENTS LAMES'!$I:$I,$B95,'3-CHANGEMENTS LAMES'!$C:$C,$C95)</f>
        <v>110</v>
      </c>
      <c r="H95" s="13" t="str">
        <f>SUMIFS('2-SESSIONS SCIAGE'!$H:$H,'2-SESSIONS SCIAGE'!$I:$I,$A95,'2-SESSIONS SCIAGE'!$J:$J,$B95,'2-SESSIONS SCIAGE'!$C:$C,$C95)</f>
        <v>6</v>
      </c>
      <c r="I95" s="41" t="str">
        <f t="shared" si="1"/>
        <v>116</v>
      </c>
      <c r="J95" s="41" t="str">
        <f t="shared" si="2"/>
        <v>416</v>
      </c>
    </row>
    <row r="96" ht="14.25" customHeight="1">
      <c r="A96" s="40">
        <v>46182.0</v>
      </c>
      <c r="B96" s="11" t="s">
        <v>105</v>
      </c>
      <c r="C96" s="11" t="s">
        <v>27</v>
      </c>
      <c r="D96" s="13" t="str">
        <f>SUMIFS('2-SESSIONS SCIAGE'!$F:$F,'2-SESSIONS SCIAGE'!$I:$I,$A96,'2-SESSIONS SCIAGE'!$J:$J,$B96,'2-SESSIONS SCIAGE'!$C:$C,$C96,'2-SESSIONS SCIAGE'!$G:$G,"ok")</f>
        <v>203</v>
      </c>
      <c r="E96" s="13" t="str">
        <f>SUMIFS('2-SESSIONS SCIAGE'!$F:$F,'2-SESSIONS SCIAGE'!$I:$I,$A96,'2-SESSIONS SCIAGE'!$J:$J,$B96,'2-SESSIONS SCIAGE'!$C:$C,$C96,'2-SESSIONS SCIAGE'!$G:$G,"sciage un côté")+SUMIFS('2-SESSIONS SCIAGE'!$F:$F,'2-SESSIONS SCIAGE'!$I:$I,$A96,'2-SESSIONS SCIAGE'!$J:$J,$B96,'2-SESSIONS SCIAGE'!$C:$C,$C96,'2-SESSIONS SCIAGE'!$G:$G,"mauvaise épaisseur")+SUMIFS('2-SESSIONS SCIAGE'!$F:$F,'2-SESSIONS SCIAGE'!$I:$I,$A96,'2-SESSIONS SCIAGE'!$J:$J,$B96,'2-SESSIONS SCIAGE'!$C:$C,$C96,'2-SESSIONS SCIAGE'!$G:$G,"rayures")+SUMIFS('2-SESSIONS SCIAGE'!$F:$F,'2-SESSIONS SCIAGE'!$I:$I,$A96,'2-SESSIONS SCIAGE'!$J:$J,$B96,'2-SESSIONS SCIAGE'!$C:$C,$C96,'2-SESSIONS SCIAGE'!$G:$G,"deviation")</f>
        <v>234</v>
      </c>
      <c r="F96" s="13" t="str">
        <f>SUMIFS('2-SESSIONS SCIAGE'!$F:$F,'2-SESSIONS SCIAGE'!$I:$I,$A96,'2-SESSIONS SCIAGE'!$J:$J,$B96,'2-SESSIONS SCIAGE'!$C:$C,$C96,'2-SESSIONS SCIAGE'!$G:$G,"zéro")+SUMIFS('2-SESSIONS SCIAGE'!$F:$F,'2-SESSIONS SCIAGE'!$I:$I,$A96,'2-SESSIONS SCIAGE'!$J:$J,$B96,'2-SESSIONS SCIAGE'!$C:$C,$C96,'2-SESSIONS SCIAGE'!$G:$G,"panne mécanique")+SUMIFS('2-SESSIONS SCIAGE'!$F:$F,'2-SESSIONS SCIAGE'!$I:$I,$A96,'2-SESSIONS SCIAGE'!$J:$J,$B96,'2-SESSIONS SCIAGE'!$C:$C,$C96,'2-SESSIONS SCIAGE'!$G:$G,"panne électrique")</f>
        <v>0</v>
      </c>
      <c r="G96" s="13" t="str">
        <f>SUMIFS('3-CHANGEMENTS LAMES'!$F:$F,'3-CHANGEMENTS LAMES'!$H:$H,$A96,'3-CHANGEMENTS LAMES'!$I:$I,$B96,'3-CHANGEMENTS LAMES'!$C:$C,$C96)</f>
        <v>16</v>
      </c>
      <c r="H96" s="13" t="str">
        <f>SUMIFS('2-SESSIONS SCIAGE'!$H:$H,'2-SESSIONS SCIAGE'!$I:$I,$A96,'2-SESSIONS SCIAGE'!$J:$J,$B96,'2-SESSIONS SCIAGE'!$C:$C,$C96)</f>
        <v>30</v>
      </c>
      <c r="I96" s="41" t="str">
        <f t="shared" si="1"/>
        <v>46</v>
      </c>
      <c r="J96" s="41" t="str">
        <f t="shared" si="2"/>
        <v>483</v>
      </c>
    </row>
    <row r="97" ht="14.25" customHeight="1">
      <c r="A97" s="40">
        <v>46183.0</v>
      </c>
      <c r="B97" s="11" t="s">
        <v>106</v>
      </c>
      <c r="C97" s="11" t="s">
        <v>27</v>
      </c>
      <c r="D97" s="13" t="str">
        <f>SUMIFS('2-SESSIONS SCIAGE'!$F:$F,'2-SESSIONS SCIAGE'!$I:$I,$A97,'2-SESSIONS SCIAGE'!$J:$J,$B97,'2-SESSIONS SCIAGE'!$C:$C,$C97,'2-SESSIONS SCIAGE'!$G:$G,"ok")</f>
        <v>240</v>
      </c>
      <c r="E97" s="13" t="str">
        <f>SUMIFS('2-SESSIONS SCIAGE'!$F:$F,'2-SESSIONS SCIAGE'!$I:$I,$A97,'2-SESSIONS SCIAGE'!$J:$J,$B97,'2-SESSIONS SCIAGE'!$C:$C,$C97,'2-SESSIONS SCIAGE'!$G:$G,"sciage un côté")+SUMIFS('2-SESSIONS SCIAGE'!$F:$F,'2-SESSIONS SCIAGE'!$I:$I,$A97,'2-SESSIONS SCIAGE'!$J:$J,$B97,'2-SESSIONS SCIAGE'!$C:$C,$C97,'2-SESSIONS SCIAGE'!$G:$G,"mauvaise épaisseur")+SUMIFS('2-SESSIONS SCIAGE'!$F:$F,'2-SESSIONS SCIAGE'!$I:$I,$A97,'2-SESSIONS SCIAGE'!$J:$J,$B97,'2-SESSIONS SCIAGE'!$C:$C,$C97,'2-SESSIONS SCIAGE'!$G:$G,"rayures")+SUMIFS('2-SESSIONS SCIAGE'!$F:$F,'2-SESSIONS SCIAGE'!$I:$I,$A97,'2-SESSIONS SCIAGE'!$J:$J,$B97,'2-SESSIONS SCIAGE'!$C:$C,$C97,'2-SESSIONS SCIAGE'!$G:$G,"deviation")</f>
        <v>0</v>
      </c>
      <c r="F97" s="13" t="str">
        <f>SUMIFS('2-SESSIONS SCIAGE'!$F:$F,'2-SESSIONS SCIAGE'!$I:$I,$A97,'2-SESSIONS SCIAGE'!$J:$J,$B97,'2-SESSIONS SCIAGE'!$C:$C,$C97,'2-SESSIONS SCIAGE'!$G:$G,"zéro")+SUMIFS('2-SESSIONS SCIAGE'!$F:$F,'2-SESSIONS SCIAGE'!$I:$I,$A97,'2-SESSIONS SCIAGE'!$J:$J,$B97,'2-SESSIONS SCIAGE'!$C:$C,$C97,'2-SESSIONS SCIAGE'!$G:$G,"panne mécanique")+SUMIFS('2-SESSIONS SCIAGE'!$F:$F,'2-SESSIONS SCIAGE'!$I:$I,$A97,'2-SESSIONS SCIAGE'!$J:$J,$B97,'2-SESSIONS SCIAGE'!$C:$C,$C97,'2-SESSIONS SCIAGE'!$G:$G,"panne électrique")</f>
        <v>267</v>
      </c>
      <c r="G97" s="13" t="str">
        <f>SUMIFS('3-CHANGEMENTS LAMES'!$F:$F,'3-CHANGEMENTS LAMES'!$H:$H,$A97,'3-CHANGEMENTS LAMES'!$I:$I,$B97,'3-CHANGEMENTS LAMES'!$C:$C,$C97)</f>
        <v>13</v>
      </c>
      <c r="H97" s="13" t="str">
        <f>SUMIFS('2-SESSIONS SCIAGE'!$H:$H,'2-SESSIONS SCIAGE'!$I:$I,$A97,'2-SESSIONS SCIAGE'!$J:$J,$B97,'2-SESSIONS SCIAGE'!$C:$C,$C97)</f>
        <v>0</v>
      </c>
      <c r="I97" s="41" t="str">
        <f t="shared" si="1"/>
        <v>280</v>
      </c>
      <c r="J97" s="41" t="str">
        <f t="shared" si="2"/>
        <v>520</v>
      </c>
    </row>
    <row r="98" ht="14.25" customHeight="1">
      <c r="A98" s="40">
        <v>46183.0</v>
      </c>
      <c r="B98" s="11" t="s">
        <v>104</v>
      </c>
      <c r="C98" s="11" t="s">
        <v>27</v>
      </c>
      <c r="D98" s="13" t="str">
        <f>SUMIFS('2-SESSIONS SCIAGE'!$F:$F,'2-SESSIONS SCIAGE'!$I:$I,$A98,'2-SESSIONS SCIAGE'!$J:$J,$B98,'2-SESSIONS SCIAGE'!$C:$C,$C98,'2-SESSIONS SCIAGE'!$G:$G,"ok")</f>
        <v>402</v>
      </c>
      <c r="E98" s="13" t="str">
        <f>SUMIFS('2-SESSIONS SCIAGE'!$F:$F,'2-SESSIONS SCIAGE'!$I:$I,$A98,'2-SESSIONS SCIAGE'!$J:$J,$B98,'2-SESSIONS SCIAGE'!$C:$C,$C98,'2-SESSIONS SCIAGE'!$G:$G,"sciage un côté")+SUMIFS('2-SESSIONS SCIAGE'!$F:$F,'2-SESSIONS SCIAGE'!$I:$I,$A98,'2-SESSIONS SCIAGE'!$J:$J,$B98,'2-SESSIONS SCIAGE'!$C:$C,$C98,'2-SESSIONS SCIAGE'!$G:$G,"mauvaise épaisseur")+SUMIFS('2-SESSIONS SCIAGE'!$F:$F,'2-SESSIONS SCIAGE'!$I:$I,$A98,'2-SESSIONS SCIAGE'!$J:$J,$B98,'2-SESSIONS SCIAGE'!$C:$C,$C98,'2-SESSIONS SCIAGE'!$G:$G,"rayures")+SUMIFS('2-SESSIONS SCIAGE'!$F:$F,'2-SESSIONS SCIAGE'!$I:$I,$A98,'2-SESSIONS SCIAGE'!$J:$J,$B98,'2-SESSIONS SCIAGE'!$C:$C,$C98,'2-SESSIONS SCIAGE'!$G:$G,"deviation")</f>
        <v>25</v>
      </c>
      <c r="F98" s="13" t="str">
        <f>SUMIFS('2-SESSIONS SCIAGE'!$F:$F,'2-SESSIONS SCIAGE'!$I:$I,$A98,'2-SESSIONS SCIAGE'!$J:$J,$B98,'2-SESSIONS SCIAGE'!$C:$C,$C98,'2-SESSIONS SCIAGE'!$G:$G,"zéro")+SUMIFS('2-SESSIONS SCIAGE'!$F:$F,'2-SESSIONS SCIAGE'!$I:$I,$A98,'2-SESSIONS SCIAGE'!$J:$J,$B98,'2-SESSIONS SCIAGE'!$C:$C,$C98,'2-SESSIONS SCIAGE'!$G:$G,"panne mécanique")+SUMIFS('2-SESSIONS SCIAGE'!$F:$F,'2-SESSIONS SCIAGE'!$I:$I,$A98,'2-SESSIONS SCIAGE'!$J:$J,$B98,'2-SESSIONS SCIAGE'!$C:$C,$C98,'2-SESSIONS SCIAGE'!$G:$G,"panne électrique")</f>
        <v>0</v>
      </c>
      <c r="G98" s="13" t="str">
        <f>SUMIFS('3-CHANGEMENTS LAMES'!$F:$F,'3-CHANGEMENTS LAMES'!$H:$H,$A98,'3-CHANGEMENTS LAMES'!$I:$I,$B98,'3-CHANGEMENTS LAMES'!$C:$C,$C98)</f>
        <v>53</v>
      </c>
      <c r="H98" s="13" t="str">
        <f>SUMIFS('2-SESSIONS SCIAGE'!$H:$H,'2-SESSIONS SCIAGE'!$I:$I,$A98,'2-SESSIONS SCIAGE'!$J:$J,$B98,'2-SESSIONS SCIAGE'!$C:$C,$C98)</f>
        <v>9</v>
      </c>
      <c r="I98" s="41" t="str">
        <f t="shared" si="1"/>
        <v>62</v>
      </c>
      <c r="J98" s="41" t="str">
        <f t="shared" si="2"/>
        <v>489</v>
      </c>
    </row>
    <row r="99" ht="14.25" customHeight="1">
      <c r="A99" s="40">
        <v>46183.0</v>
      </c>
      <c r="B99" s="11" t="s">
        <v>105</v>
      </c>
      <c r="C99" s="11" t="s">
        <v>27</v>
      </c>
      <c r="D99" s="13" t="str">
        <f>SUMIFS('2-SESSIONS SCIAGE'!$F:$F,'2-SESSIONS SCIAGE'!$I:$I,$A99,'2-SESSIONS SCIAGE'!$J:$J,$B99,'2-SESSIONS SCIAGE'!$C:$C,$C99,'2-SESSIONS SCIAGE'!$G:$G,"ok")</f>
        <v>323</v>
      </c>
      <c r="E99" s="13" t="str">
        <f>SUMIFS('2-SESSIONS SCIAGE'!$F:$F,'2-SESSIONS SCIAGE'!$I:$I,$A99,'2-SESSIONS SCIAGE'!$J:$J,$B99,'2-SESSIONS SCIAGE'!$C:$C,$C99,'2-SESSIONS SCIAGE'!$G:$G,"sciage un côté")+SUMIFS('2-SESSIONS SCIAGE'!$F:$F,'2-SESSIONS SCIAGE'!$I:$I,$A99,'2-SESSIONS SCIAGE'!$J:$J,$B99,'2-SESSIONS SCIAGE'!$C:$C,$C99,'2-SESSIONS SCIAGE'!$G:$G,"mauvaise épaisseur")+SUMIFS('2-SESSIONS SCIAGE'!$F:$F,'2-SESSIONS SCIAGE'!$I:$I,$A99,'2-SESSIONS SCIAGE'!$J:$J,$B99,'2-SESSIONS SCIAGE'!$C:$C,$C99,'2-SESSIONS SCIAGE'!$G:$G,"rayures")+SUMIFS('2-SESSIONS SCIAGE'!$F:$F,'2-SESSIONS SCIAGE'!$I:$I,$A99,'2-SESSIONS SCIAGE'!$J:$J,$B99,'2-SESSIONS SCIAGE'!$C:$C,$C99,'2-SESSIONS SCIAGE'!$G:$G,"deviation")</f>
        <v>105</v>
      </c>
      <c r="F99" s="13" t="str">
        <f>SUMIFS('2-SESSIONS SCIAGE'!$F:$F,'2-SESSIONS SCIAGE'!$I:$I,$A99,'2-SESSIONS SCIAGE'!$J:$J,$B99,'2-SESSIONS SCIAGE'!$C:$C,$C99,'2-SESSIONS SCIAGE'!$G:$G,"zéro")+SUMIFS('2-SESSIONS SCIAGE'!$F:$F,'2-SESSIONS SCIAGE'!$I:$I,$A99,'2-SESSIONS SCIAGE'!$J:$J,$B99,'2-SESSIONS SCIAGE'!$C:$C,$C99,'2-SESSIONS SCIAGE'!$G:$G,"panne mécanique")+SUMIFS('2-SESSIONS SCIAGE'!$F:$F,'2-SESSIONS SCIAGE'!$I:$I,$A99,'2-SESSIONS SCIAGE'!$J:$J,$B99,'2-SESSIONS SCIAGE'!$C:$C,$C99,'2-SESSIONS SCIAGE'!$G:$G,"panne électrique")</f>
        <v>31</v>
      </c>
      <c r="G99" s="13" t="str">
        <f>SUMIFS('3-CHANGEMENTS LAMES'!$F:$F,'3-CHANGEMENTS LAMES'!$H:$H,$A99,'3-CHANGEMENTS LAMES'!$I:$I,$B99,'3-CHANGEMENTS LAMES'!$C:$C,$C99)</f>
        <v>16</v>
      </c>
      <c r="H99" s="13" t="str">
        <f>SUMIFS('2-SESSIONS SCIAGE'!$H:$H,'2-SESSIONS SCIAGE'!$I:$I,$A99,'2-SESSIONS SCIAGE'!$J:$J,$B99,'2-SESSIONS SCIAGE'!$C:$C,$C99)</f>
        <v>25</v>
      </c>
      <c r="I99" s="41" t="str">
        <f t="shared" si="1"/>
        <v>72</v>
      </c>
      <c r="J99" s="41" t="str">
        <f t="shared" si="2"/>
        <v>500</v>
      </c>
    </row>
    <row r="100" ht="14.25" customHeight="1">
      <c r="A100" s="43"/>
      <c r="B100" s="2"/>
      <c r="C100" s="2"/>
      <c r="D100" s="2"/>
      <c r="E100" s="2"/>
      <c r="F100" s="2"/>
      <c r="G100" s="2"/>
      <c r="H100" s="13"/>
      <c r="I100" s="41"/>
      <c r="J100" s="41"/>
    </row>
    <row r="101" ht="14.25" customHeight="1">
      <c r="A101" s="43"/>
      <c r="B101" s="2"/>
      <c r="C101" s="2"/>
      <c r="D101" s="2"/>
      <c r="E101" s="2"/>
      <c r="F101" s="2"/>
      <c r="G101" s="2"/>
      <c r="H101" s="13"/>
      <c r="I101" s="41"/>
      <c r="J101" s="41"/>
    </row>
    <row r="102" ht="14.25" customHeight="1">
      <c r="A102" s="43"/>
      <c r="B102" s="2"/>
      <c r="C102" s="2"/>
      <c r="D102" s="2"/>
      <c r="E102" s="2"/>
      <c r="F102" s="2"/>
      <c r="G102" s="2"/>
      <c r="H102" s="13"/>
      <c r="I102" s="41"/>
      <c r="J102" s="41"/>
    </row>
    <row r="103" ht="14.25" customHeight="1">
      <c r="A103" s="43"/>
      <c r="B103" s="2"/>
      <c r="C103" s="2"/>
      <c r="D103" s="2"/>
      <c r="E103" s="2"/>
      <c r="F103" s="2"/>
      <c r="G103" s="2"/>
      <c r="H103" s="13"/>
      <c r="I103" s="41"/>
      <c r="J103" s="41"/>
    </row>
    <row r="104" ht="14.25" customHeight="1">
      <c r="A104" s="43"/>
      <c r="B104" s="2"/>
      <c r="C104" s="2"/>
      <c r="D104" s="2"/>
      <c r="E104" s="2"/>
      <c r="F104" s="2"/>
      <c r="G104" s="2"/>
      <c r="H104" s="13"/>
      <c r="I104" s="41"/>
      <c r="J104" s="41"/>
    </row>
    <row r="105" ht="14.25" customHeight="1">
      <c r="A105" s="43"/>
      <c r="B105" s="2"/>
      <c r="C105" s="2"/>
      <c r="D105" s="2"/>
      <c r="E105" s="2"/>
      <c r="F105" s="2"/>
      <c r="G105" s="2"/>
      <c r="H105" s="13"/>
      <c r="I105" s="41"/>
      <c r="J105" s="41"/>
    </row>
    <row r="106" ht="14.25" customHeight="1">
      <c r="A106" s="43"/>
      <c r="B106" s="2"/>
      <c r="C106" s="2"/>
      <c r="D106" s="2"/>
      <c r="E106" s="2"/>
      <c r="F106" s="2"/>
      <c r="G106" s="2"/>
      <c r="H106" s="13"/>
      <c r="I106" s="41"/>
      <c r="J106" s="41"/>
    </row>
    <row r="107" ht="14.25" customHeight="1">
      <c r="A107" s="43"/>
      <c r="B107" s="2"/>
      <c r="C107" s="2"/>
      <c r="D107" s="2"/>
      <c r="E107" s="2"/>
      <c r="F107" s="2"/>
      <c r="G107" s="2"/>
      <c r="H107" s="13"/>
      <c r="I107" s="41"/>
      <c r="J107" s="41"/>
    </row>
    <row r="108" ht="14.25" customHeight="1">
      <c r="A108" s="43"/>
      <c r="B108" s="2"/>
      <c r="C108" s="2"/>
      <c r="D108" s="2"/>
      <c r="E108" s="2"/>
      <c r="F108" s="2"/>
      <c r="G108" s="2"/>
      <c r="H108" s="13"/>
      <c r="I108" s="41"/>
      <c r="J108" s="41"/>
    </row>
    <row r="109" ht="14.25" customHeight="1">
      <c r="A109" s="43"/>
      <c r="B109" s="2"/>
      <c r="C109" s="2"/>
      <c r="D109" s="2"/>
      <c r="E109" s="2"/>
      <c r="F109" s="2"/>
      <c r="G109" s="2"/>
      <c r="H109" s="13"/>
      <c r="I109" s="41"/>
      <c r="J109" s="41"/>
    </row>
    <row r="110" ht="14.25" customHeight="1">
      <c r="A110" s="43"/>
      <c r="B110" s="2"/>
      <c r="C110" s="2"/>
      <c r="D110" s="2"/>
      <c r="E110" s="2"/>
      <c r="F110" s="2"/>
      <c r="G110" s="2"/>
      <c r="H110" s="13"/>
      <c r="I110" s="41"/>
      <c r="J110" s="41"/>
    </row>
    <row r="111" ht="14.25" customHeight="1">
      <c r="A111" s="43"/>
      <c r="B111" s="2"/>
      <c r="C111" s="2"/>
      <c r="D111" s="2"/>
      <c r="E111" s="2"/>
      <c r="F111" s="2"/>
      <c r="G111" s="2"/>
      <c r="H111" s="13"/>
      <c r="I111" s="41"/>
      <c r="J111" s="41"/>
    </row>
    <row r="112" ht="14.25" customHeight="1">
      <c r="A112" s="43"/>
      <c r="B112" s="2"/>
      <c r="C112" s="2"/>
      <c r="D112" s="2"/>
      <c r="E112" s="2"/>
      <c r="F112" s="2"/>
      <c r="G112" s="2"/>
      <c r="H112" s="13"/>
      <c r="I112" s="41"/>
      <c r="J112" s="41"/>
    </row>
    <row r="113" ht="14.25" customHeight="1">
      <c r="A113" s="43"/>
      <c r="B113" s="2"/>
      <c r="C113" s="2"/>
      <c r="D113" s="2"/>
      <c r="E113" s="2"/>
      <c r="F113" s="2"/>
      <c r="G113" s="2"/>
      <c r="H113" s="13"/>
      <c r="I113" s="41"/>
      <c r="J113" s="41"/>
    </row>
    <row r="114" ht="14.25" customHeight="1">
      <c r="A114" s="43"/>
      <c r="B114" s="2"/>
      <c r="C114" s="2"/>
      <c r="D114" s="2"/>
      <c r="E114" s="2"/>
      <c r="F114" s="2"/>
      <c r="G114" s="2"/>
      <c r="H114" s="13"/>
      <c r="I114" s="41"/>
      <c r="J114" s="41"/>
    </row>
    <row r="115" ht="14.25" customHeight="1">
      <c r="A115" s="43"/>
      <c r="B115" s="2"/>
      <c r="C115" s="2"/>
      <c r="D115" s="2"/>
      <c r="E115" s="2"/>
      <c r="F115" s="2"/>
      <c r="G115" s="2"/>
      <c r="H115" s="13"/>
      <c r="I115" s="41"/>
      <c r="J115" s="41"/>
    </row>
    <row r="116" ht="14.25" customHeight="1">
      <c r="A116" s="43"/>
      <c r="B116" s="2"/>
      <c r="C116" s="2"/>
      <c r="D116" s="2"/>
      <c r="E116" s="2"/>
      <c r="F116" s="2"/>
      <c r="G116" s="2"/>
      <c r="H116" s="13"/>
      <c r="I116" s="41"/>
      <c r="J116" s="41"/>
    </row>
    <row r="117" ht="14.25" customHeight="1">
      <c r="A117" s="43"/>
      <c r="B117" s="2"/>
      <c r="C117" s="2"/>
      <c r="D117" s="2"/>
      <c r="E117" s="2"/>
      <c r="F117" s="2"/>
      <c r="G117" s="2"/>
      <c r="H117" s="13"/>
      <c r="I117" s="41"/>
      <c r="J117" s="41"/>
    </row>
    <row r="118" ht="14.25" customHeight="1">
      <c r="A118" s="43"/>
      <c r="B118" s="2"/>
      <c r="C118" s="2"/>
      <c r="D118" s="2"/>
      <c r="E118" s="2"/>
      <c r="F118" s="2"/>
      <c r="G118" s="2"/>
      <c r="H118" s="13"/>
      <c r="I118" s="41"/>
      <c r="J118" s="41"/>
    </row>
    <row r="119" ht="14.25" customHeight="1">
      <c r="A119" s="43"/>
      <c r="B119" s="2"/>
      <c r="C119" s="2"/>
      <c r="D119" s="2"/>
      <c r="E119" s="2"/>
      <c r="F119" s="2"/>
      <c r="G119" s="2"/>
      <c r="H119" s="13"/>
      <c r="I119" s="41"/>
      <c r="J119" s="41"/>
    </row>
    <row r="120" ht="14.25" customHeight="1">
      <c r="A120" s="43"/>
      <c r="B120" s="2"/>
      <c r="C120" s="2"/>
      <c r="D120" s="2"/>
      <c r="E120" s="2"/>
      <c r="F120" s="2"/>
      <c r="G120" s="2"/>
      <c r="H120" s="13"/>
      <c r="I120" s="41"/>
      <c r="J120" s="41"/>
    </row>
    <row r="121" ht="14.25" customHeight="1">
      <c r="A121" s="43"/>
      <c r="B121" s="2"/>
      <c r="C121" s="2"/>
      <c r="D121" s="2"/>
      <c r="E121" s="2"/>
      <c r="F121" s="2"/>
      <c r="G121" s="2"/>
      <c r="H121" s="13"/>
      <c r="I121" s="41"/>
      <c r="J121" s="41"/>
    </row>
    <row r="122" ht="14.25" customHeight="1">
      <c r="A122" s="43"/>
      <c r="B122" s="2"/>
      <c r="C122" s="2"/>
      <c r="D122" s="2"/>
      <c r="E122" s="2"/>
      <c r="F122" s="2"/>
      <c r="G122" s="2"/>
      <c r="H122" s="13"/>
      <c r="I122" s="41"/>
      <c r="J122" s="41"/>
    </row>
    <row r="123" ht="14.25" customHeight="1">
      <c r="A123" s="43"/>
      <c r="B123" s="2"/>
      <c r="C123" s="2"/>
      <c r="D123" s="2"/>
      <c r="E123" s="2"/>
      <c r="F123" s="2"/>
      <c r="G123" s="2"/>
      <c r="H123" s="13"/>
      <c r="I123" s="41"/>
      <c r="J123" s="41"/>
    </row>
    <row r="124" ht="14.25" customHeight="1">
      <c r="A124" s="43"/>
      <c r="B124" s="2"/>
      <c r="C124" s="2"/>
      <c r="D124" s="2"/>
      <c r="E124" s="2"/>
      <c r="F124" s="2"/>
      <c r="G124" s="2"/>
      <c r="H124" s="13"/>
      <c r="I124" s="41"/>
      <c r="J124" s="41"/>
    </row>
    <row r="125" ht="14.25" customHeight="1">
      <c r="A125" s="43"/>
      <c r="B125" s="2"/>
      <c r="C125" s="2"/>
      <c r="D125" s="2"/>
      <c r="E125" s="2"/>
      <c r="F125" s="2"/>
      <c r="G125" s="2"/>
      <c r="H125" s="13"/>
      <c r="I125" s="41"/>
      <c r="J125" s="41"/>
    </row>
    <row r="126" ht="14.25" customHeight="1">
      <c r="A126" s="43"/>
      <c r="B126" s="2"/>
      <c r="C126" s="2"/>
      <c r="D126" s="2"/>
      <c r="E126" s="2"/>
      <c r="F126" s="2"/>
      <c r="G126" s="2"/>
      <c r="H126" s="13"/>
      <c r="I126" s="41"/>
      <c r="J126" s="41"/>
    </row>
    <row r="127" ht="14.25" customHeight="1">
      <c r="A127" s="43"/>
      <c r="B127" s="2"/>
      <c r="C127" s="2"/>
      <c r="D127" s="2"/>
      <c r="E127" s="2"/>
      <c r="F127" s="2"/>
      <c r="G127" s="2"/>
      <c r="H127" s="13"/>
      <c r="I127" s="41"/>
      <c r="J127" s="41"/>
    </row>
    <row r="128" ht="14.25" customHeight="1">
      <c r="A128" s="43"/>
      <c r="B128" s="2"/>
      <c r="C128" s="2"/>
      <c r="D128" s="2"/>
      <c r="E128" s="2"/>
      <c r="F128" s="2"/>
      <c r="G128" s="2"/>
      <c r="H128" s="13"/>
      <c r="I128" s="41"/>
      <c r="J128" s="41"/>
    </row>
    <row r="129" ht="14.25" customHeight="1">
      <c r="A129" s="43"/>
      <c r="B129" s="2"/>
      <c r="C129" s="2"/>
      <c r="D129" s="2"/>
      <c r="E129" s="2"/>
      <c r="F129" s="2"/>
      <c r="G129" s="2"/>
      <c r="H129" s="13"/>
      <c r="I129" s="41"/>
      <c r="J129" s="41"/>
    </row>
    <row r="130" ht="14.25" customHeight="1">
      <c r="A130" s="43"/>
      <c r="B130" s="2"/>
      <c r="C130" s="2"/>
      <c r="D130" s="2"/>
      <c r="E130" s="2"/>
      <c r="F130" s="2"/>
      <c r="G130" s="2"/>
      <c r="H130" s="13"/>
      <c r="I130" s="41"/>
      <c r="J130" s="41"/>
    </row>
    <row r="131" ht="14.25" customHeight="1">
      <c r="A131" s="43"/>
      <c r="B131" s="2"/>
      <c r="C131" s="2"/>
      <c r="D131" s="2"/>
      <c r="E131" s="2"/>
      <c r="F131" s="2"/>
      <c r="G131" s="2"/>
      <c r="H131" s="13"/>
      <c r="I131" s="41"/>
      <c r="J131" s="41"/>
    </row>
    <row r="132" ht="14.25" customHeight="1">
      <c r="A132" s="43"/>
      <c r="B132" s="2"/>
      <c r="C132" s="2"/>
      <c r="D132" s="2"/>
      <c r="E132" s="2"/>
      <c r="F132" s="2"/>
      <c r="G132" s="2"/>
      <c r="H132" s="13"/>
      <c r="I132" s="41"/>
      <c r="J132" s="41"/>
    </row>
    <row r="133" ht="14.25" customHeight="1">
      <c r="A133" s="43"/>
      <c r="B133" s="2"/>
      <c r="C133" s="2"/>
      <c r="D133" s="2"/>
      <c r="E133" s="2"/>
      <c r="F133" s="2"/>
      <c r="G133" s="2"/>
      <c r="H133" s="13"/>
      <c r="I133" s="41"/>
      <c r="J133" s="41"/>
    </row>
    <row r="134" ht="14.25" customHeight="1">
      <c r="A134" s="43"/>
      <c r="B134" s="2"/>
      <c r="C134" s="2"/>
      <c r="D134" s="2"/>
      <c r="E134" s="2"/>
      <c r="F134" s="2"/>
      <c r="G134" s="2"/>
      <c r="H134" s="13"/>
      <c r="I134" s="41"/>
      <c r="J134" s="41"/>
    </row>
    <row r="135" ht="14.25" customHeight="1">
      <c r="A135" s="43"/>
      <c r="B135" s="2"/>
      <c r="C135" s="2"/>
      <c r="D135" s="2"/>
      <c r="E135" s="2"/>
      <c r="F135" s="2"/>
      <c r="G135" s="2"/>
      <c r="H135" s="13"/>
      <c r="I135" s="41"/>
      <c r="J135" s="41"/>
    </row>
    <row r="136" ht="14.25" customHeight="1">
      <c r="A136" s="43"/>
      <c r="B136" s="2"/>
      <c r="C136" s="2"/>
      <c r="D136" s="2"/>
      <c r="E136" s="2"/>
      <c r="F136" s="2"/>
      <c r="G136" s="2"/>
      <c r="H136" s="13"/>
      <c r="I136" s="41"/>
      <c r="J136" s="41"/>
    </row>
    <row r="137" ht="14.25" customHeight="1">
      <c r="A137" s="43"/>
      <c r="B137" s="2"/>
      <c r="C137" s="2"/>
      <c r="D137" s="2"/>
      <c r="E137" s="2"/>
      <c r="F137" s="2"/>
      <c r="G137" s="2"/>
      <c r="H137" s="13"/>
      <c r="I137" s="41"/>
      <c r="J137" s="41"/>
    </row>
    <row r="138" ht="14.25" customHeight="1">
      <c r="A138" s="43"/>
      <c r="B138" s="2"/>
      <c r="C138" s="2"/>
      <c r="D138" s="2"/>
      <c r="E138" s="2"/>
      <c r="F138" s="2"/>
      <c r="G138" s="2"/>
      <c r="H138" s="13"/>
      <c r="I138" s="41"/>
      <c r="J138" s="41"/>
    </row>
    <row r="139" ht="14.25" customHeight="1">
      <c r="A139" s="43"/>
      <c r="B139" s="2"/>
      <c r="C139" s="2"/>
      <c r="D139" s="2"/>
      <c r="E139" s="2"/>
      <c r="F139" s="2"/>
      <c r="G139" s="2"/>
      <c r="H139" s="13"/>
      <c r="I139" s="41"/>
      <c r="J139" s="41"/>
    </row>
    <row r="140" ht="14.25" customHeight="1">
      <c r="A140" s="43"/>
      <c r="B140" s="2"/>
      <c r="C140" s="2"/>
      <c r="D140" s="2"/>
      <c r="E140" s="2"/>
      <c r="F140" s="2"/>
      <c r="G140" s="2"/>
      <c r="H140" s="13"/>
      <c r="I140" s="41"/>
      <c r="J140" s="41"/>
    </row>
    <row r="141" ht="14.25" customHeight="1">
      <c r="A141" s="43"/>
      <c r="B141" s="2"/>
      <c r="C141" s="2"/>
      <c r="D141" s="2"/>
      <c r="E141" s="2"/>
      <c r="F141" s="2"/>
      <c r="G141" s="2"/>
      <c r="H141" s="13"/>
      <c r="I141" s="41"/>
      <c r="J141" s="41"/>
    </row>
    <row r="142" ht="14.25" customHeight="1">
      <c r="A142" s="43"/>
      <c r="B142" s="2"/>
      <c r="C142" s="2"/>
      <c r="D142" s="2"/>
      <c r="E142" s="2"/>
      <c r="F142" s="2"/>
      <c r="G142" s="2"/>
      <c r="H142" s="13"/>
      <c r="I142" s="41"/>
      <c r="J142" s="41"/>
    </row>
    <row r="143" ht="14.25" customHeight="1">
      <c r="A143" s="43"/>
      <c r="B143" s="2"/>
      <c r="C143" s="2"/>
      <c r="D143" s="2"/>
      <c r="E143" s="2"/>
      <c r="F143" s="2"/>
      <c r="G143" s="2"/>
      <c r="H143" s="13"/>
      <c r="I143" s="41"/>
      <c r="J143" s="41"/>
    </row>
    <row r="144" ht="14.25" customHeight="1">
      <c r="A144" s="43"/>
      <c r="B144" s="2"/>
      <c r="C144" s="2"/>
      <c r="D144" s="2"/>
      <c r="E144" s="2"/>
      <c r="F144" s="2"/>
      <c r="G144" s="2"/>
      <c r="H144" s="13"/>
      <c r="I144" s="41"/>
      <c r="J144" s="41"/>
    </row>
    <row r="145" ht="14.25" customHeight="1">
      <c r="A145" s="43"/>
      <c r="B145" s="2"/>
      <c r="C145" s="2"/>
      <c r="D145" s="2"/>
      <c r="E145" s="2"/>
      <c r="F145" s="2"/>
      <c r="G145" s="2"/>
      <c r="H145" s="13"/>
      <c r="I145" s="41"/>
      <c r="J145" s="41"/>
    </row>
    <row r="146" ht="14.25" customHeight="1">
      <c r="A146" s="43"/>
      <c r="B146" s="2"/>
      <c r="C146" s="2"/>
      <c r="D146" s="2"/>
      <c r="E146" s="2"/>
      <c r="F146" s="2"/>
      <c r="G146" s="2"/>
      <c r="H146" s="13"/>
      <c r="I146" s="41"/>
      <c r="J146" s="41"/>
    </row>
    <row r="147" ht="14.25" customHeight="1">
      <c r="A147" s="43"/>
      <c r="B147" s="2"/>
      <c r="C147" s="2"/>
      <c r="D147" s="2"/>
      <c r="E147" s="2"/>
      <c r="F147" s="2"/>
      <c r="G147" s="2"/>
      <c r="H147" s="13"/>
      <c r="I147" s="41"/>
      <c r="J147" s="41"/>
    </row>
    <row r="148" ht="14.25" customHeight="1">
      <c r="A148" s="43"/>
      <c r="B148" s="2"/>
      <c r="C148" s="2"/>
      <c r="D148" s="2"/>
      <c r="E148" s="2"/>
      <c r="F148" s="2"/>
      <c r="G148" s="2"/>
      <c r="H148" s="13"/>
      <c r="I148" s="41"/>
      <c r="J148" s="41"/>
    </row>
    <row r="149" ht="14.25" customHeight="1">
      <c r="A149" s="43"/>
      <c r="B149" s="2"/>
      <c r="C149" s="2"/>
      <c r="D149" s="2"/>
      <c r="E149" s="2"/>
      <c r="F149" s="2"/>
      <c r="G149" s="2"/>
      <c r="H149" s="13"/>
      <c r="I149" s="41"/>
      <c r="J149" s="41"/>
    </row>
    <row r="150" ht="14.25" customHeight="1">
      <c r="A150" s="43"/>
      <c r="B150" s="2"/>
      <c r="C150" s="2"/>
      <c r="D150" s="2"/>
      <c r="E150" s="2"/>
      <c r="F150" s="2"/>
      <c r="G150" s="2"/>
      <c r="H150" s="13"/>
      <c r="I150" s="41"/>
      <c r="J150" s="41"/>
    </row>
    <row r="151" ht="14.25" customHeight="1">
      <c r="A151" s="43"/>
      <c r="B151" s="2"/>
      <c r="C151" s="2"/>
      <c r="D151" s="2"/>
      <c r="E151" s="2"/>
      <c r="F151" s="2"/>
      <c r="G151" s="2"/>
      <c r="H151" s="13"/>
      <c r="I151" s="41"/>
      <c r="J151" s="41"/>
    </row>
  </sheetData>
  <mergeCells count="2">
    <mergeCell ref="A1:I1"/>
    <mergeCell ref="A2:I2"/>
  </mergeCells>
  <printOptions/>
  <pageMargins bottom="1.0" footer="0.0" header="0.0" left="0.75" right="0.75" top="1.0"/>
  <pageSetup paperSize="9"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11.0"/>
    <col customWidth="1" min="2" max="2" width="12.0"/>
    <col customWidth="1" min="3" max="3" width="13.0"/>
    <col customWidth="1" min="4" max="4" width="12.0"/>
    <col customWidth="1" min="5" max="8" width="9.0"/>
    <col customWidth="1" min="9" max="9" width="11.0"/>
    <col customWidth="1" min="10" max="10" width="10.0"/>
    <col customWidth="1" min="11" max="11" width="13.0"/>
  </cols>
  <sheetData>
    <row r="1">
      <c r="A1" s="1" t="s">
        <v>107</v>
      </c>
    </row>
    <row r="2" ht="27.75" customHeight="1">
      <c r="A2" s="44" t="s">
        <v>108</v>
      </c>
      <c r="B2" s="31"/>
      <c r="C2" s="31"/>
      <c r="D2" s="31"/>
      <c r="E2" s="31"/>
      <c r="F2" s="31"/>
      <c r="G2" s="31"/>
      <c r="H2" s="31"/>
      <c r="I2" s="31"/>
      <c r="J2" s="31"/>
      <c r="K2" s="32"/>
    </row>
    <row r="3" ht="33.75" customHeight="1">
      <c r="A3" s="34" t="s">
        <v>95</v>
      </c>
      <c r="B3" s="34" t="s">
        <v>96</v>
      </c>
      <c r="C3" s="34" t="s">
        <v>109</v>
      </c>
      <c r="D3" s="34" t="s">
        <v>110</v>
      </c>
      <c r="E3" s="34" t="s">
        <v>111</v>
      </c>
      <c r="F3" s="34" t="s">
        <v>112</v>
      </c>
      <c r="G3" s="34" t="s">
        <v>113</v>
      </c>
      <c r="H3" s="34" t="s">
        <v>114</v>
      </c>
      <c r="I3" s="34" t="s">
        <v>115</v>
      </c>
      <c r="J3" s="34" t="s">
        <v>116</v>
      </c>
      <c r="K3" s="34" t="s">
        <v>117</v>
      </c>
    </row>
    <row r="4">
      <c r="A4" s="40">
        <v>46147.0</v>
      </c>
      <c r="B4" s="11" t="s">
        <v>104</v>
      </c>
      <c r="C4" s="18">
        <v>480.0</v>
      </c>
      <c r="D4" s="13" t="str">
        <f>SUMIFS('4-BILAN PAR POSTE'!$D:$D,'4-BILAN PAR POSTE'!$A:$A,A4,'4-BILAN PAR POSTE'!$B:$B,B4)+SUMIFS('4-BILAN PAR POSTE'!$E:$E,'4-BILAN PAR POSTE'!$A:$A,A4,'4-BILAN PAR POSTE'!$B:$B,B4)</f>
        <v>413</v>
      </c>
      <c r="E4" s="45" t="str">
        <f t="shared" ref="E4:E98" si="1">IF(C4=0,"",MIN(1,D4/C4))</f>
        <v>86%</v>
      </c>
      <c r="F4" s="45" t="str">
        <f>IF(D4=0,"",(SUMIFS('4-BILAN PAR POSTE'!$D:$D,'4-BILAN PAR POSTE'!$A:$A,A4,'4-BILAN PAR POSTE'!$B:$B,B4)+0.5*SUMIFS('4-BILAN PAR POSTE'!$E:$E,'4-BILAN PAR POSTE'!$A:$A,A4,'4-BILAN PAR POSTE'!$B:$B,B4))/D4)</f>
        <v>100%</v>
      </c>
      <c r="G4" s="45" t="str">
        <f>IF(D4=0,"",SUMIFS('4-BILAN PAR POSTE'!$D:$D,'4-BILAN PAR POSTE'!$A:$A,A4,'4-BILAN PAR POSTE'!$B:$B,B4)/D4)</f>
        <v>100%</v>
      </c>
      <c r="H4" s="46" t="str">
        <f t="shared" ref="H4:H98" si="2">IF(OR(E4="",F4="",G4=""),"",E4*F4*G4)</f>
        <v>86%</v>
      </c>
      <c r="I4" s="13" t="str">
        <f>SUMIFS('4-BILAN PAR POSTE'!$G:$G,'4-BILAN PAR POSTE'!$A:$A,A4,'4-BILAN PAR POSTE'!$B:$B,B4)</f>
        <v>34</v>
      </c>
      <c r="J4" s="13" t="str">
        <f>SUMIFS('4-BILAN PAR POSTE'!$F:$F,'4-BILAN PAR POSTE'!$A:$A,A4,'4-BILAN PAR POSTE'!$B:$B,B4)</f>
        <v>33</v>
      </c>
      <c r="K4" s="13" t="str">
        <f>SUMIFS('4-BILAN PAR POSTE'!$H:$H,'4-BILAN PAR POSTE'!$A:$A,A4,'4-BILAN PAR POSTE'!$B:$B,B4)</f>
        <v>0</v>
      </c>
    </row>
    <row r="5">
      <c r="A5" s="40">
        <v>46147.0</v>
      </c>
      <c r="B5" s="11" t="s">
        <v>105</v>
      </c>
      <c r="C5" s="18">
        <v>480.0</v>
      </c>
      <c r="D5" s="13" t="str">
        <f>SUMIFS('4-BILAN PAR POSTE'!$D:$D,'4-BILAN PAR POSTE'!$A:$A,A5,'4-BILAN PAR POSTE'!$B:$B,B5)+SUMIFS('4-BILAN PAR POSTE'!$E:$E,'4-BILAN PAR POSTE'!$A:$A,A5,'4-BILAN PAR POSTE'!$B:$B,B5)</f>
        <v>420</v>
      </c>
      <c r="E5" s="45" t="str">
        <f t="shared" si="1"/>
        <v>88%</v>
      </c>
      <c r="F5" s="45" t="str">
        <f>IF(D5=0,"",(SUMIFS('4-BILAN PAR POSTE'!$D:$D,'4-BILAN PAR POSTE'!$A:$A,A5,'4-BILAN PAR POSTE'!$B:$B,B5)+0.5*SUMIFS('4-BILAN PAR POSTE'!$E:$E,'4-BILAN PAR POSTE'!$A:$A,A5,'4-BILAN PAR POSTE'!$B:$B,B5))/D5)</f>
        <v>99%</v>
      </c>
      <c r="G5" s="45" t="str">
        <f>IF(D5=0,"",SUMIFS('4-BILAN PAR POSTE'!$D:$D,'4-BILAN PAR POSTE'!$A:$A,A5,'4-BILAN PAR POSTE'!$B:$B,B5)/D5)</f>
        <v>98%</v>
      </c>
      <c r="H5" s="46" t="str">
        <f t="shared" si="2"/>
        <v>85%</v>
      </c>
      <c r="I5" s="13" t="str">
        <f>SUMIFS('4-BILAN PAR POSTE'!$G:$G,'4-BILAN PAR POSTE'!$A:$A,A5,'4-BILAN PAR POSTE'!$B:$B,B5)</f>
        <v>46</v>
      </c>
      <c r="J5" s="13" t="str">
        <f>SUMIFS('4-BILAN PAR POSTE'!$F:$F,'4-BILAN PAR POSTE'!$A:$A,A5,'4-BILAN PAR POSTE'!$B:$B,B5)</f>
        <v>0</v>
      </c>
      <c r="K5" s="13" t="str">
        <f>SUMIFS('4-BILAN PAR POSTE'!$H:$H,'4-BILAN PAR POSTE'!$A:$A,A5,'4-BILAN PAR POSTE'!$B:$B,B5)</f>
        <v>0</v>
      </c>
    </row>
    <row r="6">
      <c r="A6" s="40">
        <v>46148.0</v>
      </c>
      <c r="B6" s="11" t="s">
        <v>106</v>
      </c>
      <c r="C6" s="18">
        <v>480.0</v>
      </c>
      <c r="D6" s="13" t="str">
        <f>SUMIFS('4-BILAN PAR POSTE'!$D:$D,'4-BILAN PAR POSTE'!$A:$A,A6,'4-BILAN PAR POSTE'!$B:$B,B6)+SUMIFS('4-BILAN PAR POSTE'!$E:$E,'4-BILAN PAR POSTE'!$A:$A,A6,'4-BILAN PAR POSTE'!$B:$B,B6)</f>
        <v>451</v>
      </c>
      <c r="E6" s="45" t="str">
        <f t="shared" si="1"/>
        <v>94%</v>
      </c>
      <c r="F6" s="45" t="str">
        <f>IF(D6=0,"",(SUMIFS('4-BILAN PAR POSTE'!$D:$D,'4-BILAN PAR POSTE'!$A:$A,A6,'4-BILAN PAR POSTE'!$B:$B,B6)+0.5*SUMIFS('4-BILAN PAR POSTE'!$E:$E,'4-BILAN PAR POSTE'!$A:$A,A6,'4-BILAN PAR POSTE'!$B:$B,B6))/D6)</f>
        <v>100%</v>
      </c>
      <c r="G6" s="45" t="str">
        <f>IF(D6=0,"",SUMIFS('4-BILAN PAR POSTE'!$D:$D,'4-BILAN PAR POSTE'!$A:$A,A6,'4-BILAN PAR POSTE'!$B:$B,B6)/D6)</f>
        <v>100%</v>
      </c>
      <c r="H6" s="46" t="str">
        <f t="shared" si="2"/>
        <v>94%</v>
      </c>
      <c r="I6" s="13" t="str">
        <f>SUMIFS('4-BILAN PAR POSTE'!$G:$G,'4-BILAN PAR POSTE'!$A:$A,A6,'4-BILAN PAR POSTE'!$B:$B,B6)</f>
        <v>29</v>
      </c>
      <c r="J6" s="13" t="str">
        <f>SUMIFS('4-BILAN PAR POSTE'!$F:$F,'4-BILAN PAR POSTE'!$A:$A,A6,'4-BILAN PAR POSTE'!$B:$B,B6)</f>
        <v>0</v>
      </c>
      <c r="K6" s="13" t="str">
        <f>SUMIFS('4-BILAN PAR POSTE'!$H:$H,'4-BILAN PAR POSTE'!$A:$A,A6,'4-BILAN PAR POSTE'!$B:$B,B6)</f>
        <v>14</v>
      </c>
    </row>
    <row r="7">
      <c r="A7" s="40">
        <v>46148.0</v>
      </c>
      <c r="B7" s="11" t="s">
        <v>104</v>
      </c>
      <c r="C7" s="18">
        <v>480.0</v>
      </c>
      <c r="D7" s="13" t="str">
        <f>SUMIFS('4-BILAN PAR POSTE'!$D:$D,'4-BILAN PAR POSTE'!$A:$A,A7,'4-BILAN PAR POSTE'!$B:$B,B7)+SUMIFS('4-BILAN PAR POSTE'!$E:$E,'4-BILAN PAR POSTE'!$A:$A,A7,'4-BILAN PAR POSTE'!$B:$B,B7)</f>
        <v>390</v>
      </c>
      <c r="E7" s="45" t="str">
        <f t="shared" si="1"/>
        <v>81%</v>
      </c>
      <c r="F7" s="45" t="str">
        <f>IF(D7=0,"",(SUMIFS('4-BILAN PAR POSTE'!$D:$D,'4-BILAN PAR POSTE'!$A:$A,A7,'4-BILAN PAR POSTE'!$B:$B,B7)+0.5*SUMIFS('4-BILAN PAR POSTE'!$E:$E,'4-BILAN PAR POSTE'!$A:$A,A7,'4-BILAN PAR POSTE'!$B:$B,B7))/D7)</f>
        <v>100%</v>
      </c>
      <c r="G7" s="45" t="str">
        <f>IF(D7=0,"",SUMIFS('4-BILAN PAR POSTE'!$D:$D,'4-BILAN PAR POSTE'!$A:$A,A7,'4-BILAN PAR POSTE'!$B:$B,B7)/D7)</f>
        <v>100%</v>
      </c>
      <c r="H7" s="46" t="str">
        <f t="shared" si="2"/>
        <v>81%</v>
      </c>
      <c r="I7" s="13" t="str">
        <f>SUMIFS('4-BILAN PAR POSTE'!$G:$G,'4-BILAN PAR POSTE'!$A:$A,A7,'4-BILAN PAR POSTE'!$B:$B,B7)</f>
        <v>22</v>
      </c>
      <c r="J7" s="13" t="str">
        <f>SUMIFS('4-BILAN PAR POSTE'!$F:$F,'4-BILAN PAR POSTE'!$A:$A,A7,'4-BILAN PAR POSTE'!$B:$B,B7)</f>
        <v>68</v>
      </c>
      <c r="K7" s="13" t="str">
        <f>SUMIFS('4-BILAN PAR POSTE'!$H:$H,'4-BILAN PAR POSTE'!$A:$A,A7,'4-BILAN PAR POSTE'!$B:$B,B7)</f>
        <v>7</v>
      </c>
    </row>
    <row r="8">
      <c r="A8" s="40">
        <v>46148.0</v>
      </c>
      <c r="B8" s="11" t="s">
        <v>105</v>
      </c>
      <c r="C8" s="18">
        <v>480.0</v>
      </c>
      <c r="D8" s="13" t="str">
        <f>SUMIFS('4-BILAN PAR POSTE'!$D:$D,'4-BILAN PAR POSTE'!$A:$A,A8,'4-BILAN PAR POSTE'!$B:$B,B8)+SUMIFS('4-BILAN PAR POSTE'!$E:$E,'4-BILAN PAR POSTE'!$A:$A,A8,'4-BILAN PAR POSTE'!$B:$B,B8)</f>
        <v>424</v>
      </c>
      <c r="E8" s="45" t="str">
        <f t="shared" si="1"/>
        <v>88%</v>
      </c>
      <c r="F8" s="45" t="str">
        <f>IF(D8=0,"",(SUMIFS('4-BILAN PAR POSTE'!$D:$D,'4-BILAN PAR POSTE'!$A:$A,A8,'4-BILAN PAR POSTE'!$B:$B,B8)+0.5*SUMIFS('4-BILAN PAR POSTE'!$E:$E,'4-BILAN PAR POSTE'!$A:$A,A8,'4-BILAN PAR POSTE'!$B:$B,B8))/D8)</f>
        <v>100%</v>
      </c>
      <c r="G8" s="45" t="str">
        <f>IF(D8=0,"",SUMIFS('4-BILAN PAR POSTE'!$D:$D,'4-BILAN PAR POSTE'!$A:$A,A8,'4-BILAN PAR POSTE'!$B:$B,B8)/D8)</f>
        <v>100%</v>
      </c>
      <c r="H8" s="46" t="str">
        <f t="shared" si="2"/>
        <v>88%</v>
      </c>
      <c r="I8" s="13" t="str">
        <f>SUMIFS('4-BILAN PAR POSTE'!$G:$G,'4-BILAN PAR POSTE'!$A:$A,A8,'4-BILAN PAR POSTE'!$B:$B,B8)</f>
        <v>29</v>
      </c>
      <c r="J8" s="13" t="str">
        <f>SUMIFS('4-BILAN PAR POSTE'!$F:$F,'4-BILAN PAR POSTE'!$A:$A,A8,'4-BILAN PAR POSTE'!$B:$B,B8)</f>
        <v>0</v>
      </c>
      <c r="K8" s="13" t="str">
        <f>SUMIFS('4-BILAN PAR POSTE'!$H:$H,'4-BILAN PAR POSTE'!$A:$A,A8,'4-BILAN PAR POSTE'!$B:$B,B8)</f>
        <v>17</v>
      </c>
    </row>
    <row r="9">
      <c r="A9" s="40">
        <v>46149.0</v>
      </c>
      <c r="B9" s="11" t="s">
        <v>106</v>
      </c>
      <c r="C9" s="18">
        <v>480.0</v>
      </c>
      <c r="D9" s="13" t="str">
        <f>SUMIFS('4-BILAN PAR POSTE'!$D:$D,'4-BILAN PAR POSTE'!$A:$A,A9,'4-BILAN PAR POSTE'!$B:$B,B9)+SUMIFS('4-BILAN PAR POSTE'!$E:$E,'4-BILAN PAR POSTE'!$A:$A,A9,'4-BILAN PAR POSTE'!$B:$B,B9)</f>
        <v>438</v>
      </c>
      <c r="E9" s="45" t="str">
        <f t="shared" si="1"/>
        <v>91%</v>
      </c>
      <c r="F9" s="45" t="str">
        <f>IF(D9=0,"",(SUMIFS('4-BILAN PAR POSTE'!$D:$D,'4-BILAN PAR POSTE'!$A:$A,A9,'4-BILAN PAR POSTE'!$B:$B,B9)+0.5*SUMIFS('4-BILAN PAR POSTE'!$E:$E,'4-BILAN PAR POSTE'!$A:$A,A9,'4-BILAN PAR POSTE'!$B:$B,B9))/D9)</f>
        <v>74%</v>
      </c>
      <c r="G9" s="45" t="str">
        <f>IF(D9=0,"",SUMIFS('4-BILAN PAR POSTE'!$D:$D,'4-BILAN PAR POSTE'!$A:$A,A9,'4-BILAN PAR POSTE'!$B:$B,B9)/D9)</f>
        <v>49%</v>
      </c>
      <c r="H9" s="46" t="str">
        <f t="shared" si="2"/>
        <v>33%</v>
      </c>
      <c r="I9" s="13" t="str">
        <f>SUMIFS('4-BILAN PAR POSTE'!$G:$G,'4-BILAN PAR POSTE'!$A:$A,A9,'4-BILAN PAR POSTE'!$B:$B,B9)</f>
        <v>42</v>
      </c>
      <c r="J9" s="13" t="str">
        <f>SUMIFS('4-BILAN PAR POSTE'!$F:$F,'4-BILAN PAR POSTE'!$A:$A,A9,'4-BILAN PAR POSTE'!$B:$B,B9)</f>
        <v>0</v>
      </c>
      <c r="K9" s="13" t="str">
        <f>SUMIFS('4-BILAN PAR POSTE'!$H:$H,'4-BILAN PAR POSTE'!$A:$A,A9,'4-BILAN PAR POSTE'!$B:$B,B9)</f>
        <v>5</v>
      </c>
    </row>
    <row r="10">
      <c r="A10" s="40">
        <v>46149.0</v>
      </c>
      <c r="B10" s="11" t="s">
        <v>104</v>
      </c>
      <c r="C10" s="18">
        <v>480.0</v>
      </c>
      <c r="D10" s="13" t="str">
        <f>SUMIFS('4-BILAN PAR POSTE'!$D:$D,'4-BILAN PAR POSTE'!$A:$A,A10,'4-BILAN PAR POSTE'!$B:$B,B10)+SUMIFS('4-BILAN PAR POSTE'!$E:$E,'4-BILAN PAR POSTE'!$A:$A,A10,'4-BILAN PAR POSTE'!$B:$B,B10)</f>
        <v>404</v>
      </c>
      <c r="E10" s="45" t="str">
        <f t="shared" si="1"/>
        <v>84%</v>
      </c>
      <c r="F10" s="45" t="str">
        <f>IF(D10=0,"",(SUMIFS('4-BILAN PAR POSTE'!$D:$D,'4-BILAN PAR POSTE'!$A:$A,A10,'4-BILAN PAR POSTE'!$B:$B,B10)+0.5*SUMIFS('4-BILAN PAR POSTE'!$E:$E,'4-BILAN PAR POSTE'!$A:$A,A10,'4-BILAN PAR POSTE'!$B:$B,B10))/D10)</f>
        <v>100%</v>
      </c>
      <c r="G10" s="45" t="str">
        <f>IF(D10=0,"",SUMIFS('4-BILAN PAR POSTE'!$D:$D,'4-BILAN PAR POSTE'!$A:$A,A10,'4-BILAN PAR POSTE'!$B:$B,B10)/D10)</f>
        <v>100%</v>
      </c>
      <c r="H10" s="46" t="str">
        <f t="shared" si="2"/>
        <v>84%</v>
      </c>
      <c r="I10" s="13" t="str">
        <f>SUMIFS('4-BILAN PAR POSTE'!$G:$G,'4-BILAN PAR POSTE'!$A:$A,A10,'4-BILAN PAR POSTE'!$B:$B,B10)</f>
        <v>50</v>
      </c>
      <c r="J10" s="13" t="str">
        <f>SUMIFS('4-BILAN PAR POSTE'!$F:$F,'4-BILAN PAR POSTE'!$A:$A,A10,'4-BILAN PAR POSTE'!$B:$B,B10)</f>
        <v>26</v>
      </c>
      <c r="K10" s="13" t="str">
        <f>SUMIFS('4-BILAN PAR POSTE'!$H:$H,'4-BILAN PAR POSTE'!$A:$A,A10,'4-BILAN PAR POSTE'!$B:$B,B10)</f>
        <v>15</v>
      </c>
    </row>
    <row r="11">
      <c r="A11" s="40">
        <v>46149.0</v>
      </c>
      <c r="B11" s="11" t="s">
        <v>105</v>
      </c>
      <c r="C11" s="18">
        <v>480.0</v>
      </c>
      <c r="D11" s="13" t="str">
        <f>SUMIFS('4-BILAN PAR POSTE'!$D:$D,'4-BILAN PAR POSTE'!$A:$A,A11,'4-BILAN PAR POSTE'!$B:$B,B11)+SUMIFS('4-BILAN PAR POSTE'!$E:$E,'4-BILAN PAR POSTE'!$A:$A,A11,'4-BILAN PAR POSTE'!$B:$B,B11)</f>
        <v>452</v>
      </c>
      <c r="E11" s="45" t="str">
        <f t="shared" si="1"/>
        <v>94%</v>
      </c>
      <c r="F11" s="45" t="str">
        <f>IF(D11=0,"",(SUMIFS('4-BILAN PAR POSTE'!$D:$D,'4-BILAN PAR POSTE'!$A:$A,A11,'4-BILAN PAR POSTE'!$B:$B,B11)+0.5*SUMIFS('4-BILAN PAR POSTE'!$E:$E,'4-BILAN PAR POSTE'!$A:$A,A11,'4-BILAN PAR POSTE'!$B:$B,B11))/D11)</f>
        <v>100%</v>
      </c>
      <c r="G11" s="45" t="str">
        <f>IF(D11=0,"",SUMIFS('4-BILAN PAR POSTE'!$D:$D,'4-BILAN PAR POSTE'!$A:$A,A11,'4-BILAN PAR POSTE'!$B:$B,B11)/D11)</f>
        <v>100%</v>
      </c>
      <c r="H11" s="46" t="str">
        <f t="shared" si="2"/>
        <v>94%</v>
      </c>
      <c r="I11" s="13" t="str">
        <f>SUMIFS('4-BILAN PAR POSTE'!$G:$G,'4-BILAN PAR POSTE'!$A:$A,A11,'4-BILAN PAR POSTE'!$B:$B,B11)</f>
        <v>13</v>
      </c>
      <c r="J11" s="13" t="str">
        <f>SUMIFS('4-BILAN PAR POSTE'!$F:$F,'4-BILAN PAR POSTE'!$A:$A,A11,'4-BILAN PAR POSTE'!$B:$B,B11)</f>
        <v>0</v>
      </c>
      <c r="K11" s="13" t="str">
        <f>SUMIFS('4-BILAN PAR POSTE'!$H:$H,'4-BILAN PAR POSTE'!$A:$A,A11,'4-BILAN PAR POSTE'!$B:$B,B11)</f>
        <v>3</v>
      </c>
    </row>
    <row r="12">
      <c r="A12" s="40">
        <v>46150.0</v>
      </c>
      <c r="B12" s="11" t="s">
        <v>106</v>
      </c>
      <c r="C12" s="18">
        <v>480.0</v>
      </c>
      <c r="D12" s="13" t="str">
        <f>SUMIFS('4-BILAN PAR POSTE'!$D:$D,'4-BILAN PAR POSTE'!$A:$A,A12,'4-BILAN PAR POSTE'!$B:$B,B12)+SUMIFS('4-BILAN PAR POSTE'!$E:$E,'4-BILAN PAR POSTE'!$A:$A,A12,'4-BILAN PAR POSTE'!$B:$B,B12)</f>
        <v>412</v>
      </c>
      <c r="E12" s="45" t="str">
        <f t="shared" si="1"/>
        <v>86%</v>
      </c>
      <c r="F12" s="45" t="str">
        <f>IF(D12=0,"",(SUMIFS('4-BILAN PAR POSTE'!$D:$D,'4-BILAN PAR POSTE'!$A:$A,A12,'4-BILAN PAR POSTE'!$B:$B,B12)+0.5*SUMIFS('4-BILAN PAR POSTE'!$E:$E,'4-BILAN PAR POSTE'!$A:$A,A12,'4-BILAN PAR POSTE'!$B:$B,B12))/D12)</f>
        <v>83%</v>
      </c>
      <c r="G12" s="45" t="str">
        <f>IF(D12=0,"",SUMIFS('4-BILAN PAR POSTE'!$D:$D,'4-BILAN PAR POSTE'!$A:$A,A12,'4-BILAN PAR POSTE'!$B:$B,B12)/D12)</f>
        <v>66%</v>
      </c>
      <c r="H12" s="46" t="str">
        <f t="shared" si="2"/>
        <v>47%</v>
      </c>
      <c r="I12" s="13" t="str">
        <f>SUMIFS('4-BILAN PAR POSTE'!$G:$G,'4-BILAN PAR POSTE'!$A:$A,A12,'4-BILAN PAR POSTE'!$B:$B,B12)</f>
        <v>68</v>
      </c>
      <c r="J12" s="13" t="str">
        <f>SUMIFS('4-BILAN PAR POSTE'!$F:$F,'4-BILAN PAR POSTE'!$A:$A,A12,'4-BILAN PAR POSTE'!$B:$B,B12)</f>
        <v>0</v>
      </c>
      <c r="K12" s="13" t="str">
        <f>SUMIFS('4-BILAN PAR POSTE'!$H:$H,'4-BILAN PAR POSTE'!$A:$A,A12,'4-BILAN PAR POSTE'!$B:$B,B12)</f>
        <v>5</v>
      </c>
    </row>
    <row r="13">
      <c r="A13" s="40">
        <v>46150.0</v>
      </c>
      <c r="B13" s="11" t="s">
        <v>104</v>
      </c>
      <c r="C13" s="18">
        <v>480.0</v>
      </c>
      <c r="D13" s="13" t="str">
        <f>SUMIFS('4-BILAN PAR POSTE'!$D:$D,'4-BILAN PAR POSTE'!$A:$A,A13,'4-BILAN PAR POSTE'!$B:$B,B13)+SUMIFS('4-BILAN PAR POSTE'!$E:$E,'4-BILAN PAR POSTE'!$A:$A,A13,'4-BILAN PAR POSTE'!$B:$B,B13)</f>
        <v>405</v>
      </c>
      <c r="E13" s="45" t="str">
        <f t="shared" si="1"/>
        <v>84%</v>
      </c>
      <c r="F13" s="45" t="str">
        <f>IF(D13=0,"",(SUMIFS('4-BILAN PAR POSTE'!$D:$D,'4-BILAN PAR POSTE'!$A:$A,A13,'4-BILAN PAR POSTE'!$B:$B,B13)+0.5*SUMIFS('4-BILAN PAR POSTE'!$E:$E,'4-BILAN PAR POSTE'!$A:$A,A13,'4-BILAN PAR POSTE'!$B:$B,B13))/D13)</f>
        <v>88%</v>
      </c>
      <c r="G13" s="45" t="str">
        <f>IF(D13=0,"",SUMIFS('4-BILAN PAR POSTE'!$D:$D,'4-BILAN PAR POSTE'!$A:$A,A13,'4-BILAN PAR POSTE'!$B:$B,B13)/D13)</f>
        <v>75%</v>
      </c>
      <c r="H13" s="46" t="str">
        <f t="shared" si="2"/>
        <v>56%</v>
      </c>
      <c r="I13" s="13" t="str">
        <f>SUMIFS('4-BILAN PAR POSTE'!$G:$G,'4-BILAN PAR POSTE'!$A:$A,A13,'4-BILAN PAR POSTE'!$B:$B,B13)</f>
        <v>75</v>
      </c>
      <c r="J13" s="13" t="str">
        <f>SUMIFS('4-BILAN PAR POSTE'!$F:$F,'4-BILAN PAR POSTE'!$A:$A,A13,'4-BILAN PAR POSTE'!$B:$B,B13)</f>
        <v>0</v>
      </c>
      <c r="K13" s="13" t="str">
        <f>SUMIFS('4-BILAN PAR POSTE'!$H:$H,'4-BILAN PAR POSTE'!$A:$A,A13,'4-BILAN PAR POSTE'!$B:$B,B13)</f>
        <v>5</v>
      </c>
    </row>
    <row r="14">
      <c r="A14" s="40">
        <v>46150.0</v>
      </c>
      <c r="B14" s="11" t="s">
        <v>105</v>
      </c>
      <c r="C14" s="18">
        <v>480.0</v>
      </c>
      <c r="D14" s="13" t="str">
        <f>SUMIFS('4-BILAN PAR POSTE'!$D:$D,'4-BILAN PAR POSTE'!$A:$A,A14,'4-BILAN PAR POSTE'!$B:$B,B14)+SUMIFS('4-BILAN PAR POSTE'!$E:$E,'4-BILAN PAR POSTE'!$A:$A,A14,'4-BILAN PAR POSTE'!$B:$B,B14)</f>
        <v>419</v>
      </c>
      <c r="E14" s="45" t="str">
        <f t="shared" si="1"/>
        <v>87%</v>
      </c>
      <c r="F14" s="45" t="str">
        <f>IF(D14=0,"",(SUMIFS('4-BILAN PAR POSTE'!$D:$D,'4-BILAN PAR POSTE'!$A:$A,A14,'4-BILAN PAR POSTE'!$B:$B,B14)+0.5*SUMIFS('4-BILAN PAR POSTE'!$E:$E,'4-BILAN PAR POSTE'!$A:$A,A14,'4-BILAN PAR POSTE'!$B:$B,B14))/D14)</f>
        <v>85%</v>
      </c>
      <c r="G14" s="45" t="str">
        <f>IF(D14=0,"",SUMIFS('4-BILAN PAR POSTE'!$D:$D,'4-BILAN PAR POSTE'!$A:$A,A14,'4-BILAN PAR POSTE'!$B:$B,B14)/D14)</f>
        <v>69%</v>
      </c>
      <c r="H14" s="46" t="str">
        <f t="shared" si="2"/>
        <v>51%</v>
      </c>
      <c r="I14" s="13" t="str">
        <f>SUMIFS('4-BILAN PAR POSTE'!$G:$G,'4-BILAN PAR POSTE'!$A:$A,A14,'4-BILAN PAR POSTE'!$B:$B,B14)</f>
        <v>38</v>
      </c>
      <c r="J14" s="13" t="str">
        <f>SUMIFS('4-BILAN PAR POSTE'!$F:$F,'4-BILAN PAR POSTE'!$A:$A,A14,'4-BILAN PAR POSTE'!$B:$B,B14)</f>
        <v>0</v>
      </c>
      <c r="K14" s="13" t="str">
        <f>SUMIFS('4-BILAN PAR POSTE'!$H:$H,'4-BILAN PAR POSTE'!$A:$A,A14,'4-BILAN PAR POSTE'!$B:$B,B14)</f>
        <v>23</v>
      </c>
    </row>
    <row r="15">
      <c r="A15" s="40">
        <v>46151.0</v>
      </c>
      <c r="B15" s="11" t="s">
        <v>106</v>
      </c>
      <c r="C15" s="18">
        <v>480.0</v>
      </c>
      <c r="D15" s="13" t="str">
        <f>SUMIFS('4-BILAN PAR POSTE'!$D:$D,'4-BILAN PAR POSTE'!$A:$A,A15,'4-BILAN PAR POSTE'!$B:$B,B15)+SUMIFS('4-BILAN PAR POSTE'!$E:$E,'4-BILAN PAR POSTE'!$A:$A,A15,'4-BILAN PAR POSTE'!$B:$B,B15)</f>
        <v>404</v>
      </c>
      <c r="E15" s="45" t="str">
        <f t="shared" si="1"/>
        <v>84%</v>
      </c>
      <c r="F15" s="45" t="str">
        <f>IF(D15=0,"",(SUMIFS('4-BILAN PAR POSTE'!$D:$D,'4-BILAN PAR POSTE'!$A:$A,A15,'4-BILAN PAR POSTE'!$B:$B,B15)+0.5*SUMIFS('4-BILAN PAR POSTE'!$E:$E,'4-BILAN PAR POSTE'!$A:$A,A15,'4-BILAN PAR POSTE'!$B:$B,B15))/D15)</f>
        <v>100%</v>
      </c>
      <c r="G15" s="45" t="str">
        <f>IF(D15=0,"",SUMIFS('4-BILAN PAR POSTE'!$D:$D,'4-BILAN PAR POSTE'!$A:$A,A15,'4-BILAN PAR POSTE'!$B:$B,B15)/D15)</f>
        <v>100%</v>
      </c>
      <c r="H15" s="46" t="str">
        <f t="shared" si="2"/>
        <v>84%</v>
      </c>
      <c r="I15" s="13" t="str">
        <f>SUMIFS('4-BILAN PAR POSTE'!$G:$G,'4-BILAN PAR POSTE'!$A:$A,A15,'4-BILAN PAR POSTE'!$B:$B,B15)</f>
        <v>43</v>
      </c>
      <c r="J15" s="13" t="str">
        <f>SUMIFS('4-BILAN PAR POSTE'!$F:$F,'4-BILAN PAR POSTE'!$A:$A,A15,'4-BILAN PAR POSTE'!$B:$B,B15)</f>
        <v>0</v>
      </c>
      <c r="K15" s="13" t="str">
        <f>SUMIFS('4-BILAN PAR POSTE'!$H:$H,'4-BILAN PAR POSTE'!$A:$A,A15,'4-BILAN PAR POSTE'!$B:$B,B15)</f>
        <v>5</v>
      </c>
    </row>
    <row r="16">
      <c r="A16" s="40">
        <v>46151.0</v>
      </c>
      <c r="B16" s="11" t="s">
        <v>104</v>
      </c>
      <c r="C16" s="18">
        <v>480.0</v>
      </c>
      <c r="D16" s="13" t="str">
        <f>SUMIFS('4-BILAN PAR POSTE'!$D:$D,'4-BILAN PAR POSTE'!$A:$A,A16,'4-BILAN PAR POSTE'!$B:$B,B16)+SUMIFS('4-BILAN PAR POSTE'!$E:$E,'4-BILAN PAR POSTE'!$A:$A,A16,'4-BILAN PAR POSTE'!$B:$B,B16)</f>
        <v>378</v>
      </c>
      <c r="E16" s="45" t="str">
        <f t="shared" si="1"/>
        <v>79%</v>
      </c>
      <c r="F16" s="45" t="str">
        <f>IF(D16=0,"",(SUMIFS('4-BILAN PAR POSTE'!$D:$D,'4-BILAN PAR POSTE'!$A:$A,A16,'4-BILAN PAR POSTE'!$B:$B,B16)+0.5*SUMIFS('4-BILAN PAR POSTE'!$E:$E,'4-BILAN PAR POSTE'!$A:$A,A16,'4-BILAN PAR POSTE'!$B:$B,B16))/D16)</f>
        <v>88%</v>
      </c>
      <c r="G16" s="45" t="str">
        <f>IF(D16=0,"",SUMIFS('4-BILAN PAR POSTE'!$D:$D,'4-BILAN PAR POSTE'!$A:$A,A16,'4-BILAN PAR POSTE'!$B:$B,B16)/D16)</f>
        <v>77%</v>
      </c>
      <c r="H16" s="46" t="str">
        <f t="shared" si="2"/>
        <v>53%</v>
      </c>
      <c r="I16" s="13" t="str">
        <f>SUMIFS('4-BILAN PAR POSTE'!$G:$G,'4-BILAN PAR POSTE'!$A:$A,A16,'4-BILAN PAR POSTE'!$B:$B,B16)</f>
        <v>57</v>
      </c>
      <c r="J16" s="13" t="str">
        <f>SUMIFS('4-BILAN PAR POSTE'!$F:$F,'4-BILAN PAR POSTE'!$A:$A,A16,'4-BILAN PAR POSTE'!$B:$B,B16)</f>
        <v>45</v>
      </c>
      <c r="K16" s="13" t="str">
        <f>SUMIFS('4-BILAN PAR POSTE'!$H:$H,'4-BILAN PAR POSTE'!$A:$A,A16,'4-BILAN PAR POSTE'!$B:$B,B16)</f>
        <v>5</v>
      </c>
    </row>
    <row r="17">
      <c r="A17" s="40">
        <v>46151.0</v>
      </c>
      <c r="B17" s="11" t="s">
        <v>105</v>
      </c>
      <c r="C17" s="18">
        <v>480.0</v>
      </c>
      <c r="D17" s="13" t="str">
        <f>SUMIFS('4-BILAN PAR POSTE'!$D:$D,'4-BILAN PAR POSTE'!$A:$A,A17,'4-BILAN PAR POSTE'!$B:$B,B17)+SUMIFS('4-BILAN PAR POSTE'!$E:$E,'4-BILAN PAR POSTE'!$A:$A,A17,'4-BILAN PAR POSTE'!$B:$B,B17)</f>
        <v>450</v>
      </c>
      <c r="E17" s="45" t="str">
        <f t="shared" si="1"/>
        <v>94%</v>
      </c>
      <c r="F17" s="45" t="str">
        <f>IF(D17=0,"",(SUMIFS('4-BILAN PAR POSTE'!$D:$D,'4-BILAN PAR POSTE'!$A:$A,A17,'4-BILAN PAR POSTE'!$B:$B,B17)+0.5*SUMIFS('4-BILAN PAR POSTE'!$E:$E,'4-BILAN PAR POSTE'!$A:$A,A17,'4-BILAN PAR POSTE'!$B:$B,B17))/D17)</f>
        <v>100%</v>
      </c>
      <c r="G17" s="45" t="str">
        <f>IF(D17=0,"",SUMIFS('4-BILAN PAR POSTE'!$D:$D,'4-BILAN PAR POSTE'!$A:$A,A17,'4-BILAN PAR POSTE'!$B:$B,B17)/D17)</f>
        <v>100%</v>
      </c>
      <c r="H17" s="46" t="str">
        <f t="shared" si="2"/>
        <v>94%</v>
      </c>
      <c r="I17" s="13" t="str">
        <f>SUMIFS('4-BILAN PAR POSTE'!$G:$G,'4-BILAN PAR POSTE'!$A:$A,A17,'4-BILAN PAR POSTE'!$B:$B,B17)</f>
        <v>12</v>
      </c>
      <c r="J17" s="13" t="str">
        <f>SUMIFS('4-BILAN PAR POSTE'!$F:$F,'4-BILAN PAR POSTE'!$A:$A,A17,'4-BILAN PAR POSTE'!$B:$B,B17)</f>
        <v>0</v>
      </c>
      <c r="K17" s="13" t="str">
        <f>SUMIFS('4-BILAN PAR POSTE'!$H:$H,'4-BILAN PAR POSTE'!$A:$A,A17,'4-BILAN PAR POSTE'!$B:$B,B17)</f>
        <v>5</v>
      </c>
    </row>
    <row r="18">
      <c r="A18" s="40">
        <v>46152.0</v>
      </c>
      <c r="B18" s="11" t="s">
        <v>106</v>
      </c>
      <c r="C18" s="18">
        <v>480.0</v>
      </c>
      <c r="D18" s="13" t="str">
        <f>SUMIFS('4-BILAN PAR POSTE'!$D:$D,'4-BILAN PAR POSTE'!$A:$A,A18,'4-BILAN PAR POSTE'!$B:$B,B18)+SUMIFS('4-BILAN PAR POSTE'!$E:$E,'4-BILAN PAR POSTE'!$A:$A,A18,'4-BILAN PAR POSTE'!$B:$B,B18)</f>
        <v>493</v>
      </c>
      <c r="E18" s="45" t="str">
        <f t="shared" si="1"/>
        <v>100%</v>
      </c>
      <c r="F18" s="45" t="str">
        <f>IF(D18=0,"",(SUMIFS('4-BILAN PAR POSTE'!$D:$D,'4-BILAN PAR POSTE'!$A:$A,A18,'4-BILAN PAR POSTE'!$B:$B,B18)+0.5*SUMIFS('4-BILAN PAR POSTE'!$E:$E,'4-BILAN PAR POSTE'!$A:$A,A18,'4-BILAN PAR POSTE'!$B:$B,B18))/D18)</f>
        <v>79%</v>
      </c>
      <c r="G18" s="45" t="str">
        <f>IF(D18=0,"",SUMIFS('4-BILAN PAR POSTE'!$D:$D,'4-BILAN PAR POSTE'!$A:$A,A18,'4-BILAN PAR POSTE'!$B:$B,B18)/D18)</f>
        <v>58%</v>
      </c>
      <c r="H18" s="46" t="str">
        <f t="shared" si="2"/>
        <v>46%</v>
      </c>
      <c r="I18" s="13" t="str">
        <f>SUMIFS('4-BILAN PAR POSTE'!$G:$G,'4-BILAN PAR POSTE'!$A:$A,A18,'4-BILAN PAR POSTE'!$B:$B,B18)</f>
        <v>31</v>
      </c>
      <c r="J18" s="13" t="str">
        <f>SUMIFS('4-BILAN PAR POSTE'!$F:$F,'4-BILAN PAR POSTE'!$A:$A,A18,'4-BILAN PAR POSTE'!$B:$B,B18)</f>
        <v>0</v>
      </c>
      <c r="K18" s="13" t="str">
        <f>SUMIFS('4-BILAN PAR POSTE'!$H:$H,'4-BILAN PAR POSTE'!$A:$A,A18,'4-BILAN PAR POSTE'!$B:$B,B18)</f>
        <v>10</v>
      </c>
    </row>
    <row r="19">
      <c r="A19" s="40">
        <v>46153.0</v>
      </c>
      <c r="B19" s="11" t="s">
        <v>106</v>
      </c>
      <c r="C19" s="18">
        <v>480.0</v>
      </c>
      <c r="D19" s="13" t="str">
        <f>SUMIFS('4-BILAN PAR POSTE'!$D:$D,'4-BILAN PAR POSTE'!$A:$A,A19,'4-BILAN PAR POSTE'!$B:$B,B19)+SUMIFS('4-BILAN PAR POSTE'!$E:$E,'4-BILAN PAR POSTE'!$A:$A,A19,'4-BILAN PAR POSTE'!$B:$B,B19)</f>
        <v>426</v>
      </c>
      <c r="E19" s="45" t="str">
        <f t="shared" si="1"/>
        <v>89%</v>
      </c>
      <c r="F19" s="45" t="str">
        <f>IF(D19=0,"",(SUMIFS('4-BILAN PAR POSTE'!$D:$D,'4-BILAN PAR POSTE'!$A:$A,A19,'4-BILAN PAR POSTE'!$B:$B,B19)+0.5*SUMIFS('4-BILAN PAR POSTE'!$E:$E,'4-BILAN PAR POSTE'!$A:$A,A19,'4-BILAN PAR POSTE'!$B:$B,B19))/D19)</f>
        <v>91%</v>
      </c>
      <c r="G19" s="45" t="str">
        <f>IF(D19=0,"",SUMIFS('4-BILAN PAR POSTE'!$D:$D,'4-BILAN PAR POSTE'!$A:$A,A19,'4-BILAN PAR POSTE'!$B:$B,B19)/D19)</f>
        <v>82%</v>
      </c>
      <c r="H19" s="46" t="str">
        <f t="shared" si="2"/>
        <v>67%</v>
      </c>
      <c r="I19" s="13" t="str">
        <f>SUMIFS('4-BILAN PAR POSTE'!$G:$G,'4-BILAN PAR POSTE'!$A:$A,A19,'4-BILAN PAR POSTE'!$B:$B,B19)</f>
        <v>45</v>
      </c>
      <c r="J19" s="13" t="str">
        <f>SUMIFS('4-BILAN PAR POSTE'!$F:$F,'4-BILAN PAR POSTE'!$A:$A,A19,'4-BILAN PAR POSTE'!$B:$B,B19)</f>
        <v>0</v>
      </c>
      <c r="K19" s="13" t="str">
        <f>SUMIFS('4-BILAN PAR POSTE'!$H:$H,'4-BILAN PAR POSTE'!$A:$A,A19,'4-BILAN PAR POSTE'!$B:$B,B19)</f>
        <v>979</v>
      </c>
    </row>
    <row r="20">
      <c r="A20" s="40">
        <v>46153.0</v>
      </c>
      <c r="B20" s="11" t="s">
        <v>104</v>
      </c>
      <c r="C20" s="18">
        <v>480.0</v>
      </c>
      <c r="D20" s="13" t="str">
        <f>SUMIFS('4-BILAN PAR POSTE'!$D:$D,'4-BILAN PAR POSTE'!$A:$A,A20,'4-BILAN PAR POSTE'!$B:$B,B20)+SUMIFS('4-BILAN PAR POSTE'!$E:$E,'4-BILAN PAR POSTE'!$A:$A,A20,'4-BILAN PAR POSTE'!$B:$B,B20)</f>
        <v>428</v>
      </c>
      <c r="E20" s="45" t="str">
        <f t="shared" si="1"/>
        <v>89%</v>
      </c>
      <c r="F20" s="45" t="str">
        <f>IF(D20=0,"",(SUMIFS('4-BILAN PAR POSTE'!$D:$D,'4-BILAN PAR POSTE'!$A:$A,A20,'4-BILAN PAR POSTE'!$B:$B,B20)+0.5*SUMIFS('4-BILAN PAR POSTE'!$E:$E,'4-BILAN PAR POSTE'!$A:$A,A20,'4-BILAN PAR POSTE'!$B:$B,B20))/D20)</f>
        <v>100%</v>
      </c>
      <c r="G20" s="45" t="str">
        <f>IF(D20=0,"",SUMIFS('4-BILAN PAR POSTE'!$D:$D,'4-BILAN PAR POSTE'!$A:$A,A20,'4-BILAN PAR POSTE'!$B:$B,B20)/D20)</f>
        <v>100%</v>
      </c>
      <c r="H20" s="46" t="str">
        <f t="shared" si="2"/>
        <v>89%</v>
      </c>
      <c r="I20" s="13" t="str">
        <f>SUMIFS('4-BILAN PAR POSTE'!$G:$G,'4-BILAN PAR POSTE'!$A:$A,A20,'4-BILAN PAR POSTE'!$B:$B,B20)</f>
        <v>42</v>
      </c>
      <c r="J20" s="13" t="str">
        <f>SUMIFS('4-BILAN PAR POSTE'!$F:$F,'4-BILAN PAR POSTE'!$A:$A,A20,'4-BILAN PAR POSTE'!$B:$B,B20)</f>
        <v>0</v>
      </c>
      <c r="K20" s="13" t="str">
        <f>SUMIFS('4-BILAN PAR POSTE'!$H:$H,'4-BILAN PAR POSTE'!$A:$A,A20,'4-BILAN PAR POSTE'!$B:$B,B20)</f>
        <v>15</v>
      </c>
    </row>
    <row r="21" ht="15.75" customHeight="1">
      <c r="A21" s="40">
        <v>46153.0</v>
      </c>
      <c r="B21" s="11" t="s">
        <v>105</v>
      </c>
      <c r="C21" s="18">
        <v>480.0</v>
      </c>
      <c r="D21" s="13" t="str">
        <f>SUMIFS('4-BILAN PAR POSTE'!$D:$D,'4-BILAN PAR POSTE'!$A:$A,A21,'4-BILAN PAR POSTE'!$B:$B,B21)+SUMIFS('4-BILAN PAR POSTE'!$E:$E,'4-BILAN PAR POSTE'!$A:$A,A21,'4-BILAN PAR POSTE'!$B:$B,B21)</f>
        <v>434</v>
      </c>
      <c r="E21" s="45" t="str">
        <f t="shared" si="1"/>
        <v>90%</v>
      </c>
      <c r="F21" s="45" t="str">
        <f>IF(D21=0,"",(SUMIFS('4-BILAN PAR POSTE'!$D:$D,'4-BILAN PAR POSTE'!$A:$A,A21,'4-BILAN PAR POSTE'!$B:$B,B21)+0.5*SUMIFS('4-BILAN PAR POSTE'!$E:$E,'4-BILAN PAR POSTE'!$A:$A,A21,'4-BILAN PAR POSTE'!$B:$B,B21))/D21)</f>
        <v>99%</v>
      </c>
      <c r="G21" s="45" t="str">
        <f>IF(D21=0,"",SUMIFS('4-BILAN PAR POSTE'!$D:$D,'4-BILAN PAR POSTE'!$A:$A,A21,'4-BILAN PAR POSTE'!$B:$B,B21)/D21)</f>
        <v>98%</v>
      </c>
      <c r="H21" s="46" t="str">
        <f t="shared" si="2"/>
        <v>87%</v>
      </c>
      <c r="I21" s="13" t="str">
        <f>SUMIFS('4-BILAN PAR POSTE'!$G:$G,'4-BILAN PAR POSTE'!$A:$A,A21,'4-BILAN PAR POSTE'!$B:$B,B21)</f>
        <v>35</v>
      </c>
      <c r="J21" s="13" t="str">
        <f>SUMIFS('4-BILAN PAR POSTE'!$F:$F,'4-BILAN PAR POSTE'!$A:$A,A21,'4-BILAN PAR POSTE'!$B:$B,B21)</f>
        <v>0</v>
      </c>
      <c r="K21" s="13" t="str">
        <f>SUMIFS('4-BILAN PAR POSTE'!$H:$H,'4-BILAN PAR POSTE'!$A:$A,A21,'4-BILAN PAR POSTE'!$B:$B,B21)</f>
        <v>4</v>
      </c>
    </row>
    <row r="22" ht="15.75" customHeight="1">
      <c r="A22" s="40">
        <v>46154.0</v>
      </c>
      <c r="B22" s="11" t="s">
        <v>106</v>
      </c>
      <c r="C22" s="18">
        <v>480.0</v>
      </c>
      <c r="D22" s="13" t="str">
        <f>SUMIFS('4-BILAN PAR POSTE'!$D:$D,'4-BILAN PAR POSTE'!$A:$A,A22,'4-BILAN PAR POSTE'!$B:$B,B22)+SUMIFS('4-BILAN PAR POSTE'!$E:$E,'4-BILAN PAR POSTE'!$A:$A,A22,'4-BILAN PAR POSTE'!$B:$B,B22)</f>
        <v>332</v>
      </c>
      <c r="E22" s="45" t="str">
        <f t="shared" si="1"/>
        <v>69%</v>
      </c>
      <c r="F22" s="45" t="str">
        <f>IF(D22=0,"",(SUMIFS('4-BILAN PAR POSTE'!$D:$D,'4-BILAN PAR POSTE'!$A:$A,A22,'4-BILAN PAR POSTE'!$B:$B,B22)+0.5*SUMIFS('4-BILAN PAR POSTE'!$E:$E,'4-BILAN PAR POSTE'!$A:$A,A22,'4-BILAN PAR POSTE'!$B:$B,B22))/D22)</f>
        <v>100%</v>
      </c>
      <c r="G22" s="45" t="str">
        <f>IF(D22=0,"",SUMIFS('4-BILAN PAR POSTE'!$D:$D,'4-BILAN PAR POSTE'!$A:$A,A22,'4-BILAN PAR POSTE'!$B:$B,B22)/D22)</f>
        <v>100%</v>
      </c>
      <c r="H22" s="46" t="str">
        <f t="shared" si="2"/>
        <v>69%</v>
      </c>
      <c r="I22" s="13" t="str">
        <f>SUMIFS('4-BILAN PAR POSTE'!$G:$G,'4-BILAN PAR POSTE'!$A:$A,A22,'4-BILAN PAR POSTE'!$B:$B,B22)</f>
        <v>33</v>
      </c>
      <c r="J22" s="13" t="str">
        <f>SUMIFS('4-BILAN PAR POSTE'!$F:$F,'4-BILAN PAR POSTE'!$A:$A,A22,'4-BILAN PAR POSTE'!$B:$B,B22)</f>
        <v>115</v>
      </c>
      <c r="K22" s="13" t="str">
        <f>SUMIFS('4-BILAN PAR POSTE'!$H:$H,'4-BILAN PAR POSTE'!$A:$A,A22,'4-BILAN PAR POSTE'!$B:$B,B22)</f>
        <v>0</v>
      </c>
    </row>
    <row r="23" ht="15.75" customHeight="1">
      <c r="A23" s="40">
        <v>46154.0</v>
      </c>
      <c r="B23" s="11" t="s">
        <v>104</v>
      </c>
      <c r="C23" s="18">
        <v>480.0</v>
      </c>
      <c r="D23" s="13" t="str">
        <f>SUMIFS('4-BILAN PAR POSTE'!$D:$D,'4-BILAN PAR POSTE'!$A:$A,A23,'4-BILAN PAR POSTE'!$B:$B,B23)+SUMIFS('4-BILAN PAR POSTE'!$E:$E,'4-BILAN PAR POSTE'!$A:$A,A23,'4-BILAN PAR POSTE'!$B:$B,B23)</f>
        <v>399</v>
      </c>
      <c r="E23" s="45" t="str">
        <f t="shared" si="1"/>
        <v>83%</v>
      </c>
      <c r="F23" s="45" t="str">
        <f>IF(D23=0,"",(SUMIFS('4-BILAN PAR POSTE'!$D:$D,'4-BILAN PAR POSTE'!$A:$A,A23,'4-BILAN PAR POSTE'!$B:$B,B23)+0.5*SUMIFS('4-BILAN PAR POSTE'!$E:$E,'4-BILAN PAR POSTE'!$A:$A,A23,'4-BILAN PAR POSTE'!$B:$B,B23))/D23)</f>
        <v>84%</v>
      </c>
      <c r="G23" s="45" t="str">
        <f>IF(D23=0,"",SUMIFS('4-BILAN PAR POSTE'!$D:$D,'4-BILAN PAR POSTE'!$A:$A,A23,'4-BILAN PAR POSTE'!$B:$B,B23)/D23)</f>
        <v>69%</v>
      </c>
      <c r="H23" s="46" t="str">
        <f t="shared" si="2"/>
        <v>48%</v>
      </c>
      <c r="I23" s="13" t="str">
        <f>SUMIFS('4-BILAN PAR POSTE'!$G:$G,'4-BILAN PAR POSTE'!$A:$A,A23,'4-BILAN PAR POSTE'!$B:$B,B23)</f>
        <v>90</v>
      </c>
      <c r="J23" s="13" t="str">
        <f>SUMIFS('4-BILAN PAR POSTE'!$F:$F,'4-BILAN PAR POSTE'!$A:$A,A23,'4-BILAN PAR POSTE'!$B:$B,B23)</f>
        <v>0</v>
      </c>
      <c r="K23" s="13" t="str">
        <f>SUMIFS('4-BILAN PAR POSTE'!$H:$H,'4-BILAN PAR POSTE'!$A:$A,A23,'4-BILAN PAR POSTE'!$B:$B,B23)</f>
        <v>5</v>
      </c>
    </row>
    <row r="24" ht="15.75" customHeight="1">
      <c r="A24" s="40">
        <v>46154.0</v>
      </c>
      <c r="B24" s="11" t="s">
        <v>105</v>
      </c>
      <c r="C24" s="18">
        <v>480.0</v>
      </c>
      <c r="D24" s="13" t="str">
        <f>SUMIFS('4-BILAN PAR POSTE'!$D:$D,'4-BILAN PAR POSTE'!$A:$A,A24,'4-BILAN PAR POSTE'!$B:$B,B24)+SUMIFS('4-BILAN PAR POSTE'!$E:$E,'4-BILAN PAR POSTE'!$A:$A,A24,'4-BILAN PAR POSTE'!$B:$B,B24)</f>
        <v>415</v>
      </c>
      <c r="E24" s="45" t="str">
        <f t="shared" si="1"/>
        <v>86%</v>
      </c>
      <c r="F24" s="45" t="str">
        <f>IF(D24=0,"",(SUMIFS('4-BILAN PAR POSTE'!$D:$D,'4-BILAN PAR POSTE'!$A:$A,A24,'4-BILAN PAR POSTE'!$B:$B,B24)+0.5*SUMIFS('4-BILAN PAR POSTE'!$E:$E,'4-BILAN PAR POSTE'!$A:$A,A24,'4-BILAN PAR POSTE'!$B:$B,B24))/D24)</f>
        <v>84%</v>
      </c>
      <c r="G24" s="45" t="str">
        <f>IF(D24=0,"",SUMIFS('4-BILAN PAR POSTE'!$D:$D,'4-BILAN PAR POSTE'!$A:$A,A24,'4-BILAN PAR POSTE'!$B:$B,B24)/D24)</f>
        <v>69%</v>
      </c>
      <c r="H24" s="46" t="str">
        <f t="shared" si="2"/>
        <v>50%</v>
      </c>
      <c r="I24" s="13" t="str">
        <f>SUMIFS('4-BILAN PAR POSTE'!$G:$G,'4-BILAN PAR POSTE'!$A:$A,A24,'4-BILAN PAR POSTE'!$B:$B,B24)</f>
        <v>46</v>
      </c>
      <c r="J24" s="13" t="str">
        <f>SUMIFS('4-BILAN PAR POSTE'!$F:$F,'4-BILAN PAR POSTE'!$A:$A,A24,'4-BILAN PAR POSTE'!$B:$B,B24)</f>
        <v>0</v>
      </c>
      <c r="K24" s="13" t="str">
        <f>SUMIFS('4-BILAN PAR POSTE'!$H:$H,'4-BILAN PAR POSTE'!$A:$A,A24,'4-BILAN PAR POSTE'!$B:$B,B24)</f>
        <v>19</v>
      </c>
    </row>
    <row r="25" ht="15.75" customHeight="1">
      <c r="A25" s="40">
        <v>46155.0</v>
      </c>
      <c r="B25" s="11" t="s">
        <v>106</v>
      </c>
      <c r="C25" s="18">
        <v>480.0</v>
      </c>
      <c r="D25" s="13" t="str">
        <f>SUMIFS('4-BILAN PAR POSTE'!$D:$D,'4-BILAN PAR POSTE'!$A:$A,A25,'4-BILAN PAR POSTE'!$B:$B,B25)+SUMIFS('4-BILAN PAR POSTE'!$E:$E,'4-BILAN PAR POSTE'!$A:$A,A25,'4-BILAN PAR POSTE'!$B:$B,B25)</f>
        <v>443</v>
      </c>
      <c r="E25" s="45" t="str">
        <f t="shared" si="1"/>
        <v>92%</v>
      </c>
      <c r="F25" s="45" t="str">
        <f>IF(D25=0,"",(SUMIFS('4-BILAN PAR POSTE'!$D:$D,'4-BILAN PAR POSTE'!$A:$A,A25,'4-BILAN PAR POSTE'!$B:$B,B25)+0.5*SUMIFS('4-BILAN PAR POSTE'!$E:$E,'4-BILAN PAR POSTE'!$A:$A,A25,'4-BILAN PAR POSTE'!$B:$B,B25))/D25)</f>
        <v>100%</v>
      </c>
      <c r="G25" s="45" t="str">
        <f>IF(D25=0,"",SUMIFS('4-BILAN PAR POSTE'!$D:$D,'4-BILAN PAR POSTE'!$A:$A,A25,'4-BILAN PAR POSTE'!$B:$B,B25)/D25)</f>
        <v>100%</v>
      </c>
      <c r="H25" s="46" t="str">
        <f t="shared" si="2"/>
        <v>92%</v>
      </c>
      <c r="I25" s="13" t="str">
        <f>SUMIFS('4-BILAN PAR POSTE'!$G:$G,'4-BILAN PAR POSTE'!$A:$A,A25,'4-BILAN PAR POSTE'!$B:$B,B25)</f>
        <v>37</v>
      </c>
      <c r="J25" s="13" t="str">
        <f>SUMIFS('4-BILAN PAR POSTE'!$F:$F,'4-BILAN PAR POSTE'!$A:$A,A25,'4-BILAN PAR POSTE'!$B:$B,B25)</f>
        <v>0</v>
      </c>
      <c r="K25" s="13" t="str">
        <f>SUMIFS('4-BILAN PAR POSTE'!$H:$H,'4-BILAN PAR POSTE'!$A:$A,A25,'4-BILAN PAR POSTE'!$B:$B,B25)</f>
        <v>5</v>
      </c>
    </row>
    <row r="26" ht="15.75" customHeight="1">
      <c r="A26" s="40">
        <v>46155.0</v>
      </c>
      <c r="B26" s="11" t="s">
        <v>104</v>
      </c>
      <c r="C26" s="18">
        <v>480.0</v>
      </c>
      <c r="D26" s="13" t="str">
        <f>SUMIFS('4-BILAN PAR POSTE'!$D:$D,'4-BILAN PAR POSTE'!$A:$A,A26,'4-BILAN PAR POSTE'!$B:$B,B26)+SUMIFS('4-BILAN PAR POSTE'!$E:$E,'4-BILAN PAR POSTE'!$A:$A,A26,'4-BILAN PAR POSTE'!$B:$B,B26)</f>
        <v>452</v>
      </c>
      <c r="E26" s="45" t="str">
        <f t="shared" si="1"/>
        <v>94%</v>
      </c>
      <c r="F26" s="45" t="str">
        <f>IF(D26=0,"",(SUMIFS('4-BILAN PAR POSTE'!$D:$D,'4-BILAN PAR POSTE'!$A:$A,A26,'4-BILAN PAR POSTE'!$B:$B,B26)+0.5*SUMIFS('4-BILAN PAR POSTE'!$E:$E,'4-BILAN PAR POSTE'!$A:$A,A26,'4-BILAN PAR POSTE'!$B:$B,B26))/D26)</f>
        <v>100%</v>
      </c>
      <c r="G26" s="45" t="str">
        <f>IF(D26=0,"",SUMIFS('4-BILAN PAR POSTE'!$D:$D,'4-BILAN PAR POSTE'!$A:$A,A26,'4-BILAN PAR POSTE'!$B:$B,B26)/D26)</f>
        <v>100%</v>
      </c>
      <c r="H26" s="46" t="str">
        <f t="shared" si="2"/>
        <v>94%</v>
      </c>
      <c r="I26" s="13" t="str">
        <f>SUMIFS('4-BILAN PAR POSTE'!$G:$G,'4-BILAN PAR POSTE'!$A:$A,A26,'4-BILAN PAR POSTE'!$B:$B,B26)</f>
        <v>28</v>
      </c>
      <c r="J26" s="13" t="str">
        <f>SUMIFS('4-BILAN PAR POSTE'!$F:$F,'4-BILAN PAR POSTE'!$A:$A,A26,'4-BILAN PAR POSTE'!$B:$B,B26)</f>
        <v>0</v>
      </c>
      <c r="K26" s="13" t="str">
        <f>SUMIFS('4-BILAN PAR POSTE'!$H:$H,'4-BILAN PAR POSTE'!$A:$A,A26,'4-BILAN PAR POSTE'!$B:$B,B26)</f>
        <v>5</v>
      </c>
    </row>
    <row r="27" ht="15.75" customHeight="1">
      <c r="A27" s="40">
        <v>46155.0</v>
      </c>
      <c r="B27" s="11" t="s">
        <v>105</v>
      </c>
      <c r="C27" s="18">
        <v>480.0</v>
      </c>
      <c r="D27" s="13" t="str">
        <f>SUMIFS('4-BILAN PAR POSTE'!$D:$D,'4-BILAN PAR POSTE'!$A:$A,A27,'4-BILAN PAR POSTE'!$B:$B,B27)+SUMIFS('4-BILAN PAR POSTE'!$E:$E,'4-BILAN PAR POSTE'!$A:$A,A27,'4-BILAN PAR POSTE'!$B:$B,B27)</f>
        <v>429</v>
      </c>
      <c r="E27" s="45" t="str">
        <f t="shared" si="1"/>
        <v>89%</v>
      </c>
      <c r="F27" s="45" t="str">
        <f>IF(D27=0,"",(SUMIFS('4-BILAN PAR POSTE'!$D:$D,'4-BILAN PAR POSTE'!$A:$A,A27,'4-BILAN PAR POSTE'!$B:$B,B27)+0.5*SUMIFS('4-BILAN PAR POSTE'!$E:$E,'4-BILAN PAR POSTE'!$A:$A,A27,'4-BILAN PAR POSTE'!$B:$B,B27))/D27)</f>
        <v>92%</v>
      </c>
      <c r="G27" s="45" t="str">
        <f>IF(D27=0,"",SUMIFS('4-BILAN PAR POSTE'!$D:$D,'4-BILAN PAR POSTE'!$A:$A,A27,'4-BILAN PAR POSTE'!$B:$B,B27)/D27)</f>
        <v>83%</v>
      </c>
      <c r="H27" s="46" t="str">
        <f t="shared" si="2"/>
        <v>68%</v>
      </c>
      <c r="I27" s="13" t="str">
        <f>SUMIFS('4-BILAN PAR POSTE'!$G:$G,'4-BILAN PAR POSTE'!$A:$A,A27,'4-BILAN PAR POSTE'!$B:$B,B27)</f>
        <v>35</v>
      </c>
      <c r="J27" s="13" t="str">
        <f>SUMIFS('4-BILAN PAR POSTE'!$F:$F,'4-BILAN PAR POSTE'!$A:$A,A27,'4-BILAN PAR POSTE'!$B:$B,B27)</f>
        <v>0</v>
      </c>
      <c r="K27" s="13" t="str">
        <f>SUMIFS('4-BILAN PAR POSTE'!$H:$H,'4-BILAN PAR POSTE'!$A:$A,A27,'4-BILAN PAR POSTE'!$B:$B,B27)</f>
        <v>5</v>
      </c>
    </row>
    <row r="28" ht="15.75" customHeight="1">
      <c r="A28" s="40">
        <v>46156.0</v>
      </c>
      <c r="B28" s="11" t="s">
        <v>106</v>
      </c>
      <c r="C28" s="18">
        <v>480.0</v>
      </c>
      <c r="D28" s="13" t="str">
        <f>SUMIFS('4-BILAN PAR POSTE'!$D:$D,'4-BILAN PAR POSTE'!$A:$A,A28,'4-BILAN PAR POSTE'!$B:$B,B28)+SUMIFS('4-BILAN PAR POSTE'!$E:$E,'4-BILAN PAR POSTE'!$A:$A,A28,'4-BILAN PAR POSTE'!$B:$B,B28)</f>
        <v>312</v>
      </c>
      <c r="E28" s="45" t="str">
        <f t="shared" si="1"/>
        <v>65%</v>
      </c>
      <c r="F28" s="45" t="str">
        <f>IF(D28=0,"",(SUMIFS('4-BILAN PAR POSTE'!$D:$D,'4-BILAN PAR POSTE'!$A:$A,A28,'4-BILAN PAR POSTE'!$B:$B,B28)+0.5*SUMIFS('4-BILAN PAR POSTE'!$E:$E,'4-BILAN PAR POSTE'!$A:$A,A28,'4-BILAN PAR POSTE'!$B:$B,B28))/D28)</f>
        <v>100%</v>
      </c>
      <c r="G28" s="45" t="str">
        <f>IF(D28=0,"",SUMIFS('4-BILAN PAR POSTE'!$D:$D,'4-BILAN PAR POSTE'!$A:$A,A28,'4-BILAN PAR POSTE'!$B:$B,B28)/D28)</f>
        <v>100%</v>
      </c>
      <c r="H28" s="46" t="str">
        <f t="shared" si="2"/>
        <v>65%</v>
      </c>
      <c r="I28" s="13" t="str">
        <f>SUMIFS('4-BILAN PAR POSTE'!$G:$G,'4-BILAN PAR POSTE'!$A:$A,A28,'4-BILAN PAR POSTE'!$B:$B,B28)</f>
        <v>39</v>
      </c>
      <c r="J28" s="13" t="str">
        <f>SUMIFS('4-BILAN PAR POSTE'!$F:$F,'4-BILAN PAR POSTE'!$A:$A,A28,'4-BILAN PAR POSTE'!$B:$B,B28)</f>
        <v>129</v>
      </c>
      <c r="K28" s="13" t="str">
        <f>SUMIFS('4-BILAN PAR POSTE'!$H:$H,'4-BILAN PAR POSTE'!$A:$A,A28,'4-BILAN PAR POSTE'!$B:$B,B28)</f>
        <v>5</v>
      </c>
    </row>
    <row r="29" ht="15.75" customHeight="1">
      <c r="A29" s="40">
        <v>46156.0</v>
      </c>
      <c r="B29" s="11" t="s">
        <v>104</v>
      </c>
      <c r="C29" s="18">
        <v>480.0</v>
      </c>
      <c r="D29" s="13" t="str">
        <f>SUMIFS('4-BILAN PAR POSTE'!$D:$D,'4-BILAN PAR POSTE'!$A:$A,A29,'4-BILAN PAR POSTE'!$B:$B,B29)+SUMIFS('4-BILAN PAR POSTE'!$E:$E,'4-BILAN PAR POSTE'!$A:$A,A29,'4-BILAN PAR POSTE'!$B:$B,B29)</f>
        <v>441</v>
      </c>
      <c r="E29" s="45" t="str">
        <f t="shared" si="1"/>
        <v>92%</v>
      </c>
      <c r="F29" s="45" t="str">
        <f>IF(D29=0,"",(SUMIFS('4-BILAN PAR POSTE'!$D:$D,'4-BILAN PAR POSTE'!$A:$A,A29,'4-BILAN PAR POSTE'!$B:$B,B29)+0.5*SUMIFS('4-BILAN PAR POSTE'!$E:$E,'4-BILAN PAR POSTE'!$A:$A,A29,'4-BILAN PAR POSTE'!$B:$B,B29))/D29)</f>
        <v>85%</v>
      </c>
      <c r="G29" s="45" t="str">
        <f>IF(D29=0,"",SUMIFS('4-BILAN PAR POSTE'!$D:$D,'4-BILAN PAR POSTE'!$A:$A,A29,'4-BILAN PAR POSTE'!$B:$B,B29)/D29)</f>
        <v>70%</v>
      </c>
      <c r="H29" s="46" t="str">
        <f t="shared" si="2"/>
        <v>55%</v>
      </c>
      <c r="I29" s="13" t="str">
        <f>SUMIFS('4-BILAN PAR POSTE'!$G:$G,'4-BILAN PAR POSTE'!$A:$A,A29,'4-BILAN PAR POSTE'!$B:$B,B29)</f>
        <v>45</v>
      </c>
      <c r="J29" s="13" t="str">
        <f>SUMIFS('4-BILAN PAR POSTE'!$F:$F,'4-BILAN PAR POSTE'!$A:$A,A29,'4-BILAN PAR POSTE'!$B:$B,B29)</f>
        <v>0</v>
      </c>
      <c r="K29" s="13" t="str">
        <f>SUMIFS('4-BILAN PAR POSTE'!$H:$H,'4-BILAN PAR POSTE'!$A:$A,A29,'4-BILAN PAR POSTE'!$B:$B,B29)</f>
        <v>0</v>
      </c>
    </row>
    <row r="30" ht="15.75" customHeight="1">
      <c r="A30" s="40">
        <v>46156.0</v>
      </c>
      <c r="B30" s="11" t="s">
        <v>105</v>
      </c>
      <c r="C30" s="18">
        <v>480.0</v>
      </c>
      <c r="D30" s="13" t="str">
        <f>SUMIFS('4-BILAN PAR POSTE'!$D:$D,'4-BILAN PAR POSTE'!$A:$A,A30,'4-BILAN PAR POSTE'!$B:$B,B30)+SUMIFS('4-BILAN PAR POSTE'!$E:$E,'4-BILAN PAR POSTE'!$A:$A,A30,'4-BILAN PAR POSTE'!$B:$B,B30)</f>
        <v>438</v>
      </c>
      <c r="E30" s="45" t="str">
        <f t="shared" si="1"/>
        <v>91%</v>
      </c>
      <c r="F30" s="45" t="str">
        <f>IF(D30=0,"",(SUMIFS('4-BILAN PAR POSTE'!$D:$D,'4-BILAN PAR POSTE'!$A:$A,A30,'4-BILAN PAR POSTE'!$B:$B,B30)+0.5*SUMIFS('4-BILAN PAR POSTE'!$E:$E,'4-BILAN PAR POSTE'!$A:$A,A30,'4-BILAN PAR POSTE'!$B:$B,B30))/D30)</f>
        <v>100%</v>
      </c>
      <c r="G30" s="45" t="str">
        <f>IF(D30=0,"",SUMIFS('4-BILAN PAR POSTE'!$D:$D,'4-BILAN PAR POSTE'!$A:$A,A30,'4-BILAN PAR POSTE'!$B:$B,B30)/D30)</f>
        <v>100%</v>
      </c>
      <c r="H30" s="46" t="str">
        <f t="shared" si="2"/>
        <v>91%</v>
      </c>
      <c r="I30" s="13" t="str">
        <f>SUMIFS('4-BILAN PAR POSTE'!$G:$G,'4-BILAN PAR POSTE'!$A:$A,A30,'4-BILAN PAR POSTE'!$B:$B,B30)</f>
        <v>23</v>
      </c>
      <c r="J30" s="13" t="str">
        <f>SUMIFS('4-BILAN PAR POSTE'!$F:$F,'4-BILAN PAR POSTE'!$A:$A,A30,'4-BILAN PAR POSTE'!$B:$B,B30)</f>
        <v>0</v>
      </c>
      <c r="K30" s="13" t="str">
        <f>SUMIFS('4-BILAN PAR POSTE'!$H:$H,'4-BILAN PAR POSTE'!$A:$A,A30,'4-BILAN PAR POSTE'!$B:$B,B30)</f>
        <v>16</v>
      </c>
    </row>
    <row r="31" ht="15.75" customHeight="1">
      <c r="A31" s="40">
        <v>46157.0</v>
      </c>
      <c r="B31" s="11" t="s">
        <v>106</v>
      </c>
      <c r="C31" s="18">
        <v>480.0</v>
      </c>
      <c r="D31" s="13" t="str">
        <f>SUMIFS('4-BILAN PAR POSTE'!$D:$D,'4-BILAN PAR POSTE'!$A:$A,A31,'4-BILAN PAR POSTE'!$B:$B,B31)+SUMIFS('4-BILAN PAR POSTE'!$E:$E,'4-BILAN PAR POSTE'!$A:$A,A31,'4-BILAN PAR POSTE'!$B:$B,B31)</f>
        <v>432</v>
      </c>
      <c r="E31" s="45" t="str">
        <f t="shared" si="1"/>
        <v>90%</v>
      </c>
      <c r="F31" s="45" t="str">
        <f>IF(D31=0,"",(SUMIFS('4-BILAN PAR POSTE'!$D:$D,'4-BILAN PAR POSTE'!$A:$A,A31,'4-BILAN PAR POSTE'!$B:$B,B31)+0.5*SUMIFS('4-BILAN PAR POSTE'!$E:$E,'4-BILAN PAR POSTE'!$A:$A,A31,'4-BILAN PAR POSTE'!$B:$B,B31))/D31)</f>
        <v>100%</v>
      </c>
      <c r="G31" s="45" t="str">
        <f>IF(D31=0,"",SUMIFS('4-BILAN PAR POSTE'!$D:$D,'4-BILAN PAR POSTE'!$A:$A,A31,'4-BILAN PAR POSTE'!$B:$B,B31)/D31)</f>
        <v>100%</v>
      </c>
      <c r="H31" s="46" t="str">
        <f t="shared" si="2"/>
        <v>90%</v>
      </c>
      <c r="I31" s="13" t="str">
        <f>SUMIFS('4-BILAN PAR POSTE'!$G:$G,'4-BILAN PAR POSTE'!$A:$A,A31,'4-BILAN PAR POSTE'!$B:$B,B31)</f>
        <v>48</v>
      </c>
      <c r="J31" s="13" t="str">
        <f>SUMIFS('4-BILAN PAR POSTE'!$F:$F,'4-BILAN PAR POSTE'!$A:$A,A31,'4-BILAN PAR POSTE'!$B:$B,B31)</f>
        <v>0</v>
      </c>
      <c r="K31" s="13" t="str">
        <f>SUMIFS('4-BILAN PAR POSTE'!$H:$H,'4-BILAN PAR POSTE'!$A:$A,A31,'4-BILAN PAR POSTE'!$B:$B,B31)</f>
        <v>5</v>
      </c>
    </row>
    <row r="32" ht="15.75" customHeight="1">
      <c r="A32" s="40">
        <v>46157.0</v>
      </c>
      <c r="B32" s="11" t="s">
        <v>104</v>
      </c>
      <c r="C32" s="18">
        <v>480.0</v>
      </c>
      <c r="D32" s="13" t="str">
        <f>SUMIFS('4-BILAN PAR POSTE'!$D:$D,'4-BILAN PAR POSTE'!$A:$A,A32,'4-BILAN PAR POSTE'!$B:$B,B32)+SUMIFS('4-BILAN PAR POSTE'!$E:$E,'4-BILAN PAR POSTE'!$A:$A,A32,'4-BILAN PAR POSTE'!$B:$B,B32)</f>
        <v>449</v>
      </c>
      <c r="E32" s="45" t="str">
        <f t="shared" si="1"/>
        <v>94%</v>
      </c>
      <c r="F32" s="45" t="str">
        <f>IF(D32=0,"",(SUMIFS('4-BILAN PAR POSTE'!$D:$D,'4-BILAN PAR POSTE'!$A:$A,A32,'4-BILAN PAR POSTE'!$B:$B,B32)+0.5*SUMIFS('4-BILAN PAR POSTE'!$E:$E,'4-BILAN PAR POSTE'!$A:$A,A32,'4-BILAN PAR POSTE'!$B:$B,B32))/D32)</f>
        <v>66%</v>
      </c>
      <c r="G32" s="45" t="str">
        <f>IF(D32=0,"",SUMIFS('4-BILAN PAR POSTE'!$D:$D,'4-BILAN PAR POSTE'!$A:$A,A32,'4-BILAN PAR POSTE'!$B:$B,B32)/D32)</f>
        <v>31%</v>
      </c>
      <c r="H32" s="46" t="str">
        <f t="shared" si="2"/>
        <v>19%</v>
      </c>
      <c r="I32" s="13" t="str">
        <f>SUMIFS('4-BILAN PAR POSTE'!$G:$G,'4-BILAN PAR POSTE'!$A:$A,A32,'4-BILAN PAR POSTE'!$B:$B,B32)</f>
        <v>31</v>
      </c>
      <c r="J32" s="13" t="str">
        <f>SUMIFS('4-BILAN PAR POSTE'!$F:$F,'4-BILAN PAR POSTE'!$A:$A,A32,'4-BILAN PAR POSTE'!$B:$B,B32)</f>
        <v>0</v>
      </c>
      <c r="K32" s="13" t="str">
        <f>SUMIFS('4-BILAN PAR POSTE'!$H:$H,'4-BILAN PAR POSTE'!$A:$A,A32,'4-BILAN PAR POSTE'!$B:$B,B32)</f>
        <v>0</v>
      </c>
    </row>
    <row r="33" ht="15.75" customHeight="1">
      <c r="A33" s="40">
        <v>46157.0</v>
      </c>
      <c r="B33" s="11" t="s">
        <v>105</v>
      </c>
      <c r="C33" s="18">
        <v>480.0</v>
      </c>
      <c r="D33" s="13" t="str">
        <f>SUMIFS('4-BILAN PAR POSTE'!$D:$D,'4-BILAN PAR POSTE'!$A:$A,A33,'4-BILAN PAR POSTE'!$B:$B,B33)+SUMIFS('4-BILAN PAR POSTE'!$E:$E,'4-BILAN PAR POSTE'!$A:$A,A33,'4-BILAN PAR POSTE'!$B:$B,B33)</f>
        <v>274</v>
      </c>
      <c r="E33" s="45" t="str">
        <f t="shared" si="1"/>
        <v>57%</v>
      </c>
      <c r="F33" s="45" t="str">
        <f>IF(D33=0,"",(SUMIFS('4-BILAN PAR POSTE'!$D:$D,'4-BILAN PAR POSTE'!$A:$A,A33,'4-BILAN PAR POSTE'!$B:$B,B33)+0.5*SUMIFS('4-BILAN PAR POSTE'!$E:$E,'4-BILAN PAR POSTE'!$A:$A,A33,'4-BILAN PAR POSTE'!$B:$B,B33))/D33)</f>
        <v>72%</v>
      </c>
      <c r="G33" s="45" t="str">
        <f>IF(D33=0,"",SUMIFS('4-BILAN PAR POSTE'!$D:$D,'4-BILAN PAR POSTE'!$A:$A,A33,'4-BILAN PAR POSTE'!$B:$B,B33)/D33)</f>
        <v>44%</v>
      </c>
      <c r="H33" s="46" t="str">
        <f t="shared" si="2"/>
        <v>18%</v>
      </c>
      <c r="I33" s="13" t="str">
        <f>SUMIFS('4-BILAN PAR POSTE'!$G:$G,'4-BILAN PAR POSTE'!$A:$A,A33,'4-BILAN PAR POSTE'!$B:$B,B33)</f>
        <v>31</v>
      </c>
      <c r="J33" s="13" t="str">
        <f>SUMIFS('4-BILAN PAR POSTE'!$F:$F,'4-BILAN PAR POSTE'!$A:$A,A33,'4-BILAN PAR POSTE'!$B:$B,B33)</f>
        <v>0</v>
      </c>
      <c r="K33" s="13" t="str">
        <f>SUMIFS('4-BILAN PAR POSTE'!$H:$H,'4-BILAN PAR POSTE'!$A:$A,A33,'4-BILAN PAR POSTE'!$B:$B,B33)</f>
        <v>0</v>
      </c>
    </row>
    <row r="34" ht="15.75" customHeight="1">
      <c r="A34" s="40">
        <v>46158.0</v>
      </c>
      <c r="B34" s="11" t="s">
        <v>106</v>
      </c>
      <c r="C34" s="18">
        <v>480.0</v>
      </c>
      <c r="D34" s="13" t="str">
        <f>SUMIFS('4-BILAN PAR POSTE'!$D:$D,'4-BILAN PAR POSTE'!$A:$A,A34,'4-BILAN PAR POSTE'!$B:$B,B34)+SUMIFS('4-BILAN PAR POSTE'!$E:$E,'4-BILAN PAR POSTE'!$A:$A,A34,'4-BILAN PAR POSTE'!$B:$B,B34)</f>
        <v>189</v>
      </c>
      <c r="E34" s="45" t="str">
        <f t="shared" si="1"/>
        <v>39%</v>
      </c>
      <c r="F34" s="45" t="str">
        <f>IF(D34=0,"",(SUMIFS('4-BILAN PAR POSTE'!$D:$D,'4-BILAN PAR POSTE'!$A:$A,A34,'4-BILAN PAR POSTE'!$B:$B,B34)+0.5*SUMIFS('4-BILAN PAR POSTE'!$E:$E,'4-BILAN PAR POSTE'!$A:$A,A34,'4-BILAN PAR POSTE'!$B:$B,B34))/D34)</f>
        <v>100%</v>
      </c>
      <c r="G34" s="45" t="str">
        <f>IF(D34=0,"",SUMIFS('4-BILAN PAR POSTE'!$D:$D,'4-BILAN PAR POSTE'!$A:$A,A34,'4-BILAN PAR POSTE'!$B:$B,B34)/D34)</f>
        <v>100%</v>
      </c>
      <c r="H34" s="46" t="str">
        <f t="shared" si="2"/>
        <v>39%</v>
      </c>
      <c r="I34" s="13" t="str">
        <f>SUMIFS('4-BILAN PAR POSTE'!$G:$G,'4-BILAN PAR POSTE'!$A:$A,A34,'4-BILAN PAR POSTE'!$B:$B,B34)</f>
        <v>64</v>
      </c>
      <c r="J34" s="13" t="str">
        <f>SUMIFS('4-BILAN PAR POSTE'!$F:$F,'4-BILAN PAR POSTE'!$A:$A,A34,'4-BILAN PAR POSTE'!$B:$B,B34)</f>
        <v>95</v>
      </c>
      <c r="K34" s="13" t="str">
        <f>SUMIFS('4-BILAN PAR POSTE'!$H:$H,'4-BILAN PAR POSTE'!$A:$A,A34,'4-BILAN PAR POSTE'!$B:$B,B34)</f>
        <v>0</v>
      </c>
    </row>
    <row r="35" ht="15.75" customHeight="1">
      <c r="A35" s="40">
        <v>46158.0</v>
      </c>
      <c r="B35" s="11" t="s">
        <v>104</v>
      </c>
      <c r="C35" s="18">
        <v>480.0</v>
      </c>
      <c r="D35" s="13" t="str">
        <f>SUMIFS('4-BILAN PAR POSTE'!$D:$D,'4-BILAN PAR POSTE'!$A:$A,A35,'4-BILAN PAR POSTE'!$B:$B,B35)+SUMIFS('4-BILAN PAR POSTE'!$E:$E,'4-BILAN PAR POSTE'!$A:$A,A35,'4-BILAN PAR POSTE'!$B:$B,B35)</f>
        <v>470</v>
      </c>
      <c r="E35" s="45" t="str">
        <f t="shared" si="1"/>
        <v>98%</v>
      </c>
      <c r="F35" s="45" t="str">
        <f>IF(D35=0,"",(SUMIFS('4-BILAN PAR POSTE'!$D:$D,'4-BILAN PAR POSTE'!$A:$A,A35,'4-BILAN PAR POSTE'!$B:$B,B35)+0.5*SUMIFS('4-BILAN PAR POSTE'!$E:$E,'4-BILAN PAR POSTE'!$A:$A,A35,'4-BILAN PAR POSTE'!$B:$B,B35))/D35)</f>
        <v>100%</v>
      </c>
      <c r="G35" s="45" t="str">
        <f>IF(D35=0,"",SUMIFS('4-BILAN PAR POSTE'!$D:$D,'4-BILAN PAR POSTE'!$A:$A,A35,'4-BILAN PAR POSTE'!$B:$B,B35)/D35)</f>
        <v>100%</v>
      </c>
      <c r="H35" s="46" t="str">
        <f t="shared" si="2"/>
        <v>98%</v>
      </c>
      <c r="I35" s="13" t="str">
        <f>SUMIFS('4-BILAN PAR POSTE'!$G:$G,'4-BILAN PAR POSTE'!$A:$A,A35,'4-BILAN PAR POSTE'!$B:$B,B35)</f>
        <v>21</v>
      </c>
      <c r="J35" s="13" t="str">
        <f>SUMIFS('4-BILAN PAR POSTE'!$F:$F,'4-BILAN PAR POSTE'!$A:$A,A35,'4-BILAN PAR POSTE'!$B:$B,B35)</f>
        <v>0</v>
      </c>
      <c r="K35" s="13" t="str">
        <f>SUMIFS('4-BILAN PAR POSTE'!$H:$H,'4-BILAN PAR POSTE'!$A:$A,A35,'4-BILAN PAR POSTE'!$B:$B,B35)</f>
        <v>5</v>
      </c>
    </row>
    <row r="36" ht="15.75" customHeight="1">
      <c r="A36" s="40">
        <v>46158.0</v>
      </c>
      <c r="B36" s="11" t="s">
        <v>105</v>
      </c>
      <c r="C36" s="18">
        <v>480.0</v>
      </c>
      <c r="D36" s="13" t="str">
        <f>SUMIFS('4-BILAN PAR POSTE'!$D:$D,'4-BILAN PAR POSTE'!$A:$A,A36,'4-BILAN PAR POSTE'!$B:$B,B36)+SUMIFS('4-BILAN PAR POSTE'!$E:$E,'4-BILAN PAR POSTE'!$A:$A,A36,'4-BILAN PAR POSTE'!$B:$B,B36)</f>
        <v>532</v>
      </c>
      <c r="E36" s="45" t="str">
        <f t="shared" si="1"/>
        <v>100%</v>
      </c>
      <c r="F36" s="45" t="str">
        <f>IF(D36=0,"",(SUMIFS('4-BILAN PAR POSTE'!$D:$D,'4-BILAN PAR POSTE'!$A:$A,A36,'4-BILAN PAR POSTE'!$B:$B,B36)+0.5*SUMIFS('4-BILAN PAR POSTE'!$E:$E,'4-BILAN PAR POSTE'!$A:$A,A36,'4-BILAN PAR POSTE'!$B:$B,B36))/D36)</f>
        <v>76%</v>
      </c>
      <c r="G36" s="45" t="str">
        <f>IF(D36=0,"",SUMIFS('4-BILAN PAR POSTE'!$D:$D,'4-BILAN PAR POSTE'!$A:$A,A36,'4-BILAN PAR POSTE'!$B:$B,B36)/D36)</f>
        <v>51%</v>
      </c>
      <c r="H36" s="46" t="str">
        <f t="shared" si="2"/>
        <v>39%</v>
      </c>
      <c r="I36" s="13" t="str">
        <f>SUMIFS('4-BILAN PAR POSTE'!$G:$G,'4-BILAN PAR POSTE'!$A:$A,A36,'4-BILAN PAR POSTE'!$B:$B,B36)</f>
        <v>46</v>
      </c>
      <c r="J36" s="13" t="str">
        <f>SUMIFS('4-BILAN PAR POSTE'!$F:$F,'4-BILAN PAR POSTE'!$A:$A,A36,'4-BILAN PAR POSTE'!$B:$B,B36)</f>
        <v>0</v>
      </c>
      <c r="K36" s="13" t="str">
        <f>SUMIFS('4-BILAN PAR POSTE'!$H:$H,'4-BILAN PAR POSTE'!$A:$A,A36,'4-BILAN PAR POSTE'!$B:$B,B36)</f>
        <v>30</v>
      </c>
    </row>
    <row r="37" ht="15.75" customHeight="1">
      <c r="A37" s="40">
        <v>46160.0</v>
      </c>
      <c r="B37" s="11" t="s">
        <v>106</v>
      </c>
      <c r="C37" s="18">
        <v>480.0</v>
      </c>
      <c r="D37" s="13" t="str">
        <f>SUMIFS('4-BILAN PAR POSTE'!$D:$D,'4-BILAN PAR POSTE'!$A:$A,A37,'4-BILAN PAR POSTE'!$B:$B,B37)+SUMIFS('4-BILAN PAR POSTE'!$E:$E,'4-BILAN PAR POSTE'!$A:$A,A37,'4-BILAN PAR POSTE'!$B:$B,B37)</f>
        <v>444</v>
      </c>
      <c r="E37" s="45" t="str">
        <f t="shared" si="1"/>
        <v>93%</v>
      </c>
      <c r="F37" s="45" t="str">
        <f>IF(D37=0,"",(SUMIFS('4-BILAN PAR POSTE'!$D:$D,'4-BILAN PAR POSTE'!$A:$A,A37,'4-BILAN PAR POSTE'!$B:$B,B37)+0.5*SUMIFS('4-BILAN PAR POSTE'!$E:$E,'4-BILAN PAR POSTE'!$A:$A,A37,'4-BILAN PAR POSTE'!$B:$B,B37))/D37)</f>
        <v>85%</v>
      </c>
      <c r="G37" s="45" t="str">
        <f>IF(D37=0,"",SUMIFS('4-BILAN PAR POSTE'!$D:$D,'4-BILAN PAR POSTE'!$A:$A,A37,'4-BILAN PAR POSTE'!$B:$B,B37)/D37)</f>
        <v>69%</v>
      </c>
      <c r="H37" s="46" t="str">
        <f t="shared" si="2"/>
        <v>54%</v>
      </c>
      <c r="I37" s="13" t="str">
        <f>SUMIFS('4-BILAN PAR POSTE'!$G:$G,'4-BILAN PAR POSTE'!$A:$A,A37,'4-BILAN PAR POSTE'!$B:$B,B37)</f>
        <v>58</v>
      </c>
      <c r="J37" s="13" t="str">
        <f>SUMIFS('4-BILAN PAR POSTE'!$F:$F,'4-BILAN PAR POSTE'!$A:$A,A37,'4-BILAN PAR POSTE'!$B:$B,B37)</f>
        <v>0</v>
      </c>
      <c r="K37" s="13" t="str">
        <f>SUMIFS('4-BILAN PAR POSTE'!$H:$H,'4-BILAN PAR POSTE'!$A:$A,A37,'4-BILAN PAR POSTE'!$B:$B,B37)</f>
        <v>5</v>
      </c>
    </row>
    <row r="38" ht="15.75" customHeight="1">
      <c r="A38" s="40">
        <v>46160.0</v>
      </c>
      <c r="B38" s="11" t="s">
        <v>104</v>
      </c>
      <c r="C38" s="18">
        <v>480.0</v>
      </c>
      <c r="D38" s="13" t="str">
        <f>SUMIFS('4-BILAN PAR POSTE'!$D:$D,'4-BILAN PAR POSTE'!$A:$A,A38,'4-BILAN PAR POSTE'!$B:$B,B38)+SUMIFS('4-BILAN PAR POSTE'!$E:$E,'4-BILAN PAR POSTE'!$A:$A,A38,'4-BILAN PAR POSTE'!$B:$B,B38)</f>
        <v>428</v>
      </c>
      <c r="E38" s="45" t="str">
        <f t="shared" si="1"/>
        <v>89%</v>
      </c>
      <c r="F38" s="45" t="str">
        <f>IF(D38=0,"",(SUMIFS('4-BILAN PAR POSTE'!$D:$D,'4-BILAN PAR POSTE'!$A:$A,A38,'4-BILAN PAR POSTE'!$B:$B,B38)+0.5*SUMIFS('4-BILAN PAR POSTE'!$E:$E,'4-BILAN PAR POSTE'!$A:$A,A38,'4-BILAN PAR POSTE'!$B:$B,B38))/D38)</f>
        <v>97%</v>
      </c>
      <c r="G38" s="45" t="str">
        <f>IF(D38=0,"",SUMIFS('4-BILAN PAR POSTE'!$D:$D,'4-BILAN PAR POSTE'!$A:$A,A38,'4-BILAN PAR POSTE'!$B:$B,B38)/D38)</f>
        <v>94%</v>
      </c>
      <c r="H38" s="46" t="str">
        <f t="shared" si="2"/>
        <v>81%</v>
      </c>
      <c r="I38" s="13" t="str">
        <f>SUMIFS('4-BILAN PAR POSTE'!$G:$G,'4-BILAN PAR POSTE'!$A:$A,A38,'4-BILAN PAR POSTE'!$B:$B,B38)</f>
        <v>52</v>
      </c>
      <c r="J38" s="13" t="str">
        <f>SUMIFS('4-BILAN PAR POSTE'!$F:$F,'4-BILAN PAR POSTE'!$A:$A,A38,'4-BILAN PAR POSTE'!$B:$B,B38)</f>
        <v>0</v>
      </c>
      <c r="K38" s="13" t="str">
        <f>SUMIFS('4-BILAN PAR POSTE'!$H:$H,'4-BILAN PAR POSTE'!$A:$A,A38,'4-BILAN PAR POSTE'!$B:$B,B38)</f>
        <v>3</v>
      </c>
    </row>
    <row r="39" ht="15.75" customHeight="1">
      <c r="A39" s="40">
        <v>46160.0</v>
      </c>
      <c r="B39" s="11" t="s">
        <v>105</v>
      </c>
      <c r="C39" s="18">
        <v>480.0</v>
      </c>
      <c r="D39" s="13" t="str">
        <f>SUMIFS('4-BILAN PAR POSTE'!$D:$D,'4-BILAN PAR POSTE'!$A:$A,A39,'4-BILAN PAR POSTE'!$B:$B,B39)+SUMIFS('4-BILAN PAR POSTE'!$E:$E,'4-BILAN PAR POSTE'!$A:$A,A39,'4-BILAN PAR POSTE'!$B:$B,B39)</f>
        <v>427</v>
      </c>
      <c r="E39" s="45" t="str">
        <f t="shared" si="1"/>
        <v>89%</v>
      </c>
      <c r="F39" s="45" t="str">
        <f>IF(D39=0,"",(SUMIFS('4-BILAN PAR POSTE'!$D:$D,'4-BILAN PAR POSTE'!$A:$A,A39,'4-BILAN PAR POSTE'!$B:$B,B39)+0.5*SUMIFS('4-BILAN PAR POSTE'!$E:$E,'4-BILAN PAR POSTE'!$A:$A,A39,'4-BILAN PAR POSTE'!$B:$B,B39))/D39)</f>
        <v>92%</v>
      </c>
      <c r="G39" s="45" t="str">
        <f>IF(D39=0,"",SUMIFS('4-BILAN PAR POSTE'!$D:$D,'4-BILAN PAR POSTE'!$A:$A,A39,'4-BILAN PAR POSTE'!$B:$B,B39)/D39)</f>
        <v>84%</v>
      </c>
      <c r="H39" s="46" t="str">
        <f t="shared" si="2"/>
        <v>69%</v>
      </c>
      <c r="I39" s="13" t="str">
        <f>SUMIFS('4-BILAN PAR POSTE'!$G:$G,'4-BILAN PAR POSTE'!$A:$A,A39,'4-BILAN PAR POSTE'!$B:$B,B39)</f>
        <v>35</v>
      </c>
      <c r="J39" s="13" t="str">
        <f>SUMIFS('4-BILAN PAR POSTE'!$F:$F,'4-BILAN PAR POSTE'!$A:$A,A39,'4-BILAN PAR POSTE'!$B:$B,B39)</f>
        <v>0</v>
      </c>
      <c r="K39" s="13" t="str">
        <f>SUMIFS('4-BILAN PAR POSTE'!$H:$H,'4-BILAN PAR POSTE'!$A:$A,A39,'4-BILAN PAR POSTE'!$B:$B,B39)</f>
        <v>10</v>
      </c>
    </row>
    <row r="40" ht="15.75" customHeight="1">
      <c r="A40" s="40">
        <v>46161.0</v>
      </c>
      <c r="B40" s="11" t="s">
        <v>106</v>
      </c>
      <c r="C40" s="18">
        <v>480.0</v>
      </c>
      <c r="D40" s="13" t="str">
        <f>SUMIFS('4-BILAN PAR POSTE'!$D:$D,'4-BILAN PAR POSTE'!$A:$A,A40,'4-BILAN PAR POSTE'!$B:$B,B40)+SUMIFS('4-BILAN PAR POSTE'!$E:$E,'4-BILAN PAR POSTE'!$A:$A,A40,'4-BILAN PAR POSTE'!$B:$B,B40)</f>
        <v>414</v>
      </c>
      <c r="E40" s="45" t="str">
        <f t="shared" si="1"/>
        <v>86%</v>
      </c>
      <c r="F40" s="45" t="str">
        <f>IF(D40=0,"",(SUMIFS('4-BILAN PAR POSTE'!$D:$D,'4-BILAN PAR POSTE'!$A:$A,A40,'4-BILAN PAR POSTE'!$B:$B,B40)+0.5*SUMIFS('4-BILAN PAR POSTE'!$E:$E,'4-BILAN PAR POSTE'!$A:$A,A40,'4-BILAN PAR POSTE'!$B:$B,B40))/D40)</f>
        <v>65%</v>
      </c>
      <c r="G40" s="45" t="str">
        <f>IF(D40=0,"",SUMIFS('4-BILAN PAR POSTE'!$D:$D,'4-BILAN PAR POSTE'!$A:$A,A40,'4-BILAN PAR POSTE'!$B:$B,B40)/D40)</f>
        <v>31%</v>
      </c>
      <c r="H40" s="46" t="str">
        <f t="shared" si="2"/>
        <v>17%</v>
      </c>
      <c r="I40" s="13" t="str">
        <f>SUMIFS('4-BILAN PAR POSTE'!$G:$G,'4-BILAN PAR POSTE'!$A:$A,A40,'4-BILAN PAR POSTE'!$B:$B,B40)</f>
        <v>66</v>
      </c>
      <c r="J40" s="13" t="str">
        <f>SUMIFS('4-BILAN PAR POSTE'!$F:$F,'4-BILAN PAR POSTE'!$A:$A,A40,'4-BILAN PAR POSTE'!$B:$B,B40)</f>
        <v>0</v>
      </c>
      <c r="K40" s="13" t="str">
        <f>SUMIFS('4-BILAN PAR POSTE'!$H:$H,'4-BILAN PAR POSTE'!$A:$A,A40,'4-BILAN PAR POSTE'!$B:$B,B40)</f>
        <v>5</v>
      </c>
    </row>
    <row r="41" ht="15.75" customHeight="1">
      <c r="A41" s="40">
        <v>46161.0</v>
      </c>
      <c r="B41" s="11" t="s">
        <v>104</v>
      </c>
      <c r="C41" s="18">
        <v>480.0</v>
      </c>
      <c r="D41" s="13" t="str">
        <f>SUMIFS('4-BILAN PAR POSTE'!$D:$D,'4-BILAN PAR POSTE'!$A:$A,A41,'4-BILAN PAR POSTE'!$B:$B,B41)+SUMIFS('4-BILAN PAR POSTE'!$E:$E,'4-BILAN PAR POSTE'!$A:$A,A41,'4-BILAN PAR POSTE'!$B:$B,B41)</f>
        <v>438</v>
      </c>
      <c r="E41" s="45" t="str">
        <f t="shared" si="1"/>
        <v>91%</v>
      </c>
      <c r="F41" s="45" t="str">
        <f>IF(D41=0,"",(SUMIFS('4-BILAN PAR POSTE'!$D:$D,'4-BILAN PAR POSTE'!$A:$A,A41,'4-BILAN PAR POSTE'!$B:$B,B41)+0.5*SUMIFS('4-BILAN PAR POSTE'!$E:$E,'4-BILAN PAR POSTE'!$A:$A,A41,'4-BILAN PAR POSTE'!$B:$B,B41))/D41)</f>
        <v>98%</v>
      </c>
      <c r="G41" s="45" t="str">
        <f>IF(D41=0,"",SUMIFS('4-BILAN PAR POSTE'!$D:$D,'4-BILAN PAR POSTE'!$A:$A,A41,'4-BILAN PAR POSTE'!$B:$B,B41)/D41)</f>
        <v>95%</v>
      </c>
      <c r="H41" s="46" t="str">
        <f t="shared" si="2"/>
        <v>85%</v>
      </c>
      <c r="I41" s="13" t="str">
        <f>SUMIFS('4-BILAN PAR POSTE'!$G:$G,'4-BILAN PAR POSTE'!$A:$A,A41,'4-BILAN PAR POSTE'!$B:$B,B41)</f>
        <v>42</v>
      </c>
      <c r="J41" s="13" t="str">
        <f>SUMIFS('4-BILAN PAR POSTE'!$F:$F,'4-BILAN PAR POSTE'!$A:$A,A41,'4-BILAN PAR POSTE'!$B:$B,B41)</f>
        <v>0</v>
      </c>
      <c r="K41" s="13" t="str">
        <f>SUMIFS('4-BILAN PAR POSTE'!$H:$H,'4-BILAN PAR POSTE'!$A:$A,A41,'4-BILAN PAR POSTE'!$B:$B,B41)</f>
        <v>15</v>
      </c>
    </row>
    <row r="42" ht="15.75" customHeight="1">
      <c r="A42" s="40">
        <v>46161.0</v>
      </c>
      <c r="B42" s="11" t="s">
        <v>105</v>
      </c>
      <c r="C42" s="18">
        <v>480.0</v>
      </c>
      <c r="D42" s="13" t="str">
        <f>SUMIFS('4-BILAN PAR POSTE'!$D:$D,'4-BILAN PAR POSTE'!$A:$A,A42,'4-BILAN PAR POSTE'!$B:$B,B42)+SUMIFS('4-BILAN PAR POSTE'!$E:$E,'4-BILAN PAR POSTE'!$A:$A,A42,'4-BILAN PAR POSTE'!$B:$B,B42)</f>
        <v>451</v>
      </c>
      <c r="E42" s="45" t="str">
        <f t="shared" si="1"/>
        <v>94%</v>
      </c>
      <c r="F42" s="45" t="str">
        <f>IF(D42=0,"",(SUMIFS('4-BILAN PAR POSTE'!$D:$D,'4-BILAN PAR POSTE'!$A:$A,A42,'4-BILAN PAR POSTE'!$B:$B,B42)+0.5*SUMIFS('4-BILAN PAR POSTE'!$E:$E,'4-BILAN PAR POSTE'!$A:$A,A42,'4-BILAN PAR POSTE'!$B:$B,B42))/D42)</f>
        <v>100%</v>
      </c>
      <c r="G42" s="45" t="str">
        <f>IF(D42=0,"",SUMIFS('4-BILAN PAR POSTE'!$D:$D,'4-BILAN PAR POSTE'!$A:$A,A42,'4-BILAN PAR POSTE'!$B:$B,B42)/D42)</f>
        <v>100%</v>
      </c>
      <c r="H42" s="46" t="str">
        <f t="shared" si="2"/>
        <v>94%</v>
      </c>
      <c r="I42" s="13" t="str">
        <f>SUMIFS('4-BILAN PAR POSTE'!$G:$G,'4-BILAN PAR POSTE'!$A:$A,A42,'4-BILAN PAR POSTE'!$B:$B,B42)</f>
        <v>23</v>
      </c>
      <c r="J42" s="13" t="str">
        <f>SUMIFS('4-BILAN PAR POSTE'!$F:$F,'4-BILAN PAR POSTE'!$A:$A,A42,'4-BILAN PAR POSTE'!$B:$B,B42)</f>
        <v>0</v>
      </c>
      <c r="K42" s="13" t="str">
        <f>SUMIFS('4-BILAN PAR POSTE'!$H:$H,'4-BILAN PAR POSTE'!$A:$A,A42,'4-BILAN PAR POSTE'!$B:$B,B42)</f>
        <v>7</v>
      </c>
    </row>
    <row r="43" ht="15.75" customHeight="1">
      <c r="A43" s="40">
        <v>46162.0</v>
      </c>
      <c r="B43" s="11" t="s">
        <v>106</v>
      </c>
      <c r="C43" s="18">
        <v>480.0</v>
      </c>
      <c r="D43" s="13" t="str">
        <f>SUMIFS('4-BILAN PAR POSTE'!$D:$D,'4-BILAN PAR POSTE'!$A:$A,A43,'4-BILAN PAR POSTE'!$B:$B,B43)+SUMIFS('4-BILAN PAR POSTE'!$E:$E,'4-BILAN PAR POSTE'!$A:$A,A43,'4-BILAN PAR POSTE'!$B:$B,B43)</f>
        <v>298</v>
      </c>
      <c r="E43" s="45" t="str">
        <f t="shared" si="1"/>
        <v>62%</v>
      </c>
      <c r="F43" s="45" t="str">
        <f>IF(D43=0,"",(SUMIFS('4-BILAN PAR POSTE'!$D:$D,'4-BILAN PAR POSTE'!$A:$A,A43,'4-BILAN PAR POSTE'!$B:$B,B43)+0.5*SUMIFS('4-BILAN PAR POSTE'!$E:$E,'4-BILAN PAR POSTE'!$A:$A,A43,'4-BILAN PAR POSTE'!$B:$B,B43))/D43)</f>
        <v>100%</v>
      </c>
      <c r="G43" s="45" t="str">
        <f>IF(D43=0,"",SUMIFS('4-BILAN PAR POSTE'!$D:$D,'4-BILAN PAR POSTE'!$A:$A,A43,'4-BILAN PAR POSTE'!$B:$B,B43)/D43)</f>
        <v>100%</v>
      </c>
      <c r="H43" s="46" t="str">
        <f t="shared" si="2"/>
        <v>62%</v>
      </c>
      <c r="I43" s="13" t="str">
        <f>SUMIFS('4-BILAN PAR POSTE'!$G:$G,'4-BILAN PAR POSTE'!$A:$A,A43,'4-BILAN PAR POSTE'!$B:$B,B43)</f>
        <v>34</v>
      </c>
      <c r="J43" s="13" t="str">
        <f>SUMIFS('4-BILAN PAR POSTE'!$F:$F,'4-BILAN PAR POSTE'!$A:$A,A43,'4-BILAN PAR POSTE'!$B:$B,B43)</f>
        <v>0</v>
      </c>
      <c r="K43" s="13" t="str">
        <f>SUMIFS('4-BILAN PAR POSTE'!$H:$H,'4-BILAN PAR POSTE'!$A:$A,A43,'4-BILAN PAR POSTE'!$B:$B,B43)</f>
        <v>7</v>
      </c>
    </row>
    <row r="44" ht="15.75" customHeight="1">
      <c r="A44" s="40">
        <v>46162.0</v>
      </c>
      <c r="B44" s="11" t="s">
        <v>104</v>
      </c>
      <c r="C44" s="18">
        <v>480.0</v>
      </c>
      <c r="D44" s="13" t="str">
        <f>SUMIFS('4-BILAN PAR POSTE'!$D:$D,'4-BILAN PAR POSTE'!$A:$A,A44,'4-BILAN PAR POSTE'!$B:$B,B44)+SUMIFS('4-BILAN PAR POSTE'!$E:$E,'4-BILAN PAR POSTE'!$A:$A,A44,'4-BILAN PAR POSTE'!$B:$B,B44)</f>
        <v>440</v>
      </c>
      <c r="E44" s="45" t="str">
        <f t="shared" si="1"/>
        <v>92%</v>
      </c>
      <c r="F44" s="45" t="str">
        <f>IF(D44=0,"",(SUMIFS('4-BILAN PAR POSTE'!$D:$D,'4-BILAN PAR POSTE'!$A:$A,A44,'4-BILAN PAR POSTE'!$B:$B,B44)+0.5*SUMIFS('4-BILAN PAR POSTE'!$E:$E,'4-BILAN PAR POSTE'!$A:$A,A44,'4-BILAN PAR POSTE'!$B:$B,B44))/D44)</f>
        <v>100%</v>
      </c>
      <c r="G44" s="45" t="str">
        <f>IF(D44=0,"",SUMIFS('4-BILAN PAR POSTE'!$D:$D,'4-BILAN PAR POSTE'!$A:$A,A44,'4-BILAN PAR POSTE'!$B:$B,B44)/D44)</f>
        <v>100%</v>
      </c>
      <c r="H44" s="46" t="str">
        <f t="shared" si="2"/>
        <v>92%</v>
      </c>
      <c r="I44" s="13" t="str">
        <f>SUMIFS('4-BILAN PAR POSTE'!$G:$G,'4-BILAN PAR POSTE'!$A:$A,A44,'4-BILAN PAR POSTE'!$B:$B,B44)</f>
        <v>40</v>
      </c>
      <c r="J44" s="13" t="str">
        <f>SUMIFS('4-BILAN PAR POSTE'!$F:$F,'4-BILAN PAR POSTE'!$A:$A,A44,'4-BILAN PAR POSTE'!$B:$B,B44)</f>
        <v>0</v>
      </c>
      <c r="K44" s="13" t="str">
        <f>SUMIFS('4-BILAN PAR POSTE'!$H:$H,'4-BILAN PAR POSTE'!$A:$A,A44,'4-BILAN PAR POSTE'!$B:$B,B44)</f>
        <v>10</v>
      </c>
    </row>
    <row r="45" ht="15.75" customHeight="1">
      <c r="A45" s="40">
        <v>46162.0</v>
      </c>
      <c r="B45" s="11" t="s">
        <v>105</v>
      </c>
      <c r="C45" s="18">
        <v>480.0</v>
      </c>
      <c r="D45" s="13" t="str">
        <f>SUMIFS('4-BILAN PAR POSTE'!$D:$D,'4-BILAN PAR POSTE'!$A:$A,A45,'4-BILAN PAR POSTE'!$B:$B,B45)+SUMIFS('4-BILAN PAR POSTE'!$E:$E,'4-BILAN PAR POSTE'!$A:$A,A45,'4-BILAN PAR POSTE'!$B:$B,B45)</f>
        <v>441</v>
      </c>
      <c r="E45" s="45" t="str">
        <f t="shared" si="1"/>
        <v>92%</v>
      </c>
      <c r="F45" s="45" t="str">
        <f>IF(D45=0,"",(SUMIFS('4-BILAN PAR POSTE'!$D:$D,'4-BILAN PAR POSTE'!$A:$A,A45,'4-BILAN PAR POSTE'!$B:$B,B45)+0.5*SUMIFS('4-BILAN PAR POSTE'!$E:$E,'4-BILAN PAR POSTE'!$A:$A,A45,'4-BILAN PAR POSTE'!$B:$B,B45))/D45)</f>
        <v>96%</v>
      </c>
      <c r="G45" s="45" t="str">
        <f>IF(D45=0,"",SUMIFS('4-BILAN PAR POSTE'!$D:$D,'4-BILAN PAR POSTE'!$A:$A,A45,'4-BILAN PAR POSTE'!$B:$B,B45)/D45)</f>
        <v>91%</v>
      </c>
      <c r="H45" s="46" t="str">
        <f t="shared" si="2"/>
        <v>80%</v>
      </c>
      <c r="I45" s="13" t="str">
        <f>SUMIFS('4-BILAN PAR POSTE'!$G:$G,'4-BILAN PAR POSTE'!$A:$A,A45,'4-BILAN PAR POSTE'!$B:$B,B45)</f>
        <v>29</v>
      </c>
      <c r="J45" s="13" t="str">
        <f>SUMIFS('4-BILAN PAR POSTE'!$F:$F,'4-BILAN PAR POSTE'!$A:$A,A45,'4-BILAN PAR POSTE'!$B:$B,B45)</f>
        <v>0</v>
      </c>
      <c r="K45" s="13" t="str">
        <f>SUMIFS('4-BILAN PAR POSTE'!$H:$H,'4-BILAN PAR POSTE'!$A:$A,A45,'4-BILAN PAR POSTE'!$B:$B,B45)</f>
        <v>6</v>
      </c>
    </row>
    <row r="46" ht="15.75" customHeight="1">
      <c r="A46" s="40">
        <v>46164.0</v>
      </c>
      <c r="B46" s="11" t="s">
        <v>106</v>
      </c>
      <c r="C46" s="18">
        <v>480.0</v>
      </c>
      <c r="D46" s="13" t="str">
        <f>SUMIFS('4-BILAN PAR POSTE'!$D:$D,'4-BILAN PAR POSTE'!$A:$A,A46,'4-BILAN PAR POSTE'!$B:$B,B46)+SUMIFS('4-BILAN PAR POSTE'!$E:$E,'4-BILAN PAR POSTE'!$A:$A,A46,'4-BILAN PAR POSTE'!$B:$B,B46)</f>
        <v>437</v>
      </c>
      <c r="E46" s="45" t="str">
        <f t="shared" si="1"/>
        <v>91%</v>
      </c>
      <c r="F46" s="45" t="str">
        <f>IF(D46=0,"",(SUMIFS('4-BILAN PAR POSTE'!$D:$D,'4-BILAN PAR POSTE'!$A:$A,A46,'4-BILAN PAR POSTE'!$B:$B,B46)+0.5*SUMIFS('4-BILAN PAR POSTE'!$E:$E,'4-BILAN PAR POSTE'!$A:$A,A46,'4-BILAN PAR POSTE'!$B:$B,B46))/D46)</f>
        <v>93%</v>
      </c>
      <c r="G46" s="45" t="str">
        <f>IF(D46=0,"",SUMIFS('4-BILAN PAR POSTE'!$D:$D,'4-BILAN PAR POSTE'!$A:$A,A46,'4-BILAN PAR POSTE'!$B:$B,B46)/D46)</f>
        <v>86%</v>
      </c>
      <c r="H46" s="46" t="str">
        <f t="shared" si="2"/>
        <v>73%</v>
      </c>
      <c r="I46" s="13" t="str">
        <f>SUMIFS('4-BILAN PAR POSTE'!$G:$G,'4-BILAN PAR POSTE'!$A:$A,A46,'4-BILAN PAR POSTE'!$B:$B,B46)</f>
        <v>43</v>
      </c>
      <c r="J46" s="13" t="str">
        <f>SUMIFS('4-BILAN PAR POSTE'!$F:$F,'4-BILAN PAR POSTE'!$A:$A,A46,'4-BILAN PAR POSTE'!$B:$B,B46)</f>
        <v>0</v>
      </c>
      <c r="K46" s="13" t="str">
        <f>SUMIFS('4-BILAN PAR POSTE'!$H:$H,'4-BILAN PAR POSTE'!$A:$A,A46,'4-BILAN PAR POSTE'!$B:$B,B46)</f>
        <v>0</v>
      </c>
    </row>
    <row r="47" ht="15.75" customHeight="1">
      <c r="A47" s="40">
        <v>46164.0</v>
      </c>
      <c r="B47" s="11" t="s">
        <v>104</v>
      </c>
      <c r="C47" s="18">
        <v>480.0</v>
      </c>
      <c r="D47" s="13" t="str">
        <f>SUMIFS('4-BILAN PAR POSTE'!$D:$D,'4-BILAN PAR POSTE'!$A:$A,A47,'4-BILAN PAR POSTE'!$B:$B,B47)+SUMIFS('4-BILAN PAR POSTE'!$E:$E,'4-BILAN PAR POSTE'!$A:$A,A47,'4-BILAN PAR POSTE'!$B:$B,B47)</f>
        <v>287</v>
      </c>
      <c r="E47" s="45" t="str">
        <f t="shared" si="1"/>
        <v>60%</v>
      </c>
      <c r="F47" s="45" t="str">
        <f>IF(D47=0,"",(SUMIFS('4-BILAN PAR POSTE'!$D:$D,'4-BILAN PAR POSTE'!$A:$A,A47,'4-BILAN PAR POSTE'!$B:$B,B47)+0.5*SUMIFS('4-BILAN PAR POSTE'!$E:$E,'4-BILAN PAR POSTE'!$A:$A,A47,'4-BILAN PAR POSTE'!$B:$B,B47))/D47)</f>
        <v>100%</v>
      </c>
      <c r="G47" s="45" t="str">
        <f>IF(D47=0,"",SUMIFS('4-BILAN PAR POSTE'!$D:$D,'4-BILAN PAR POSTE'!$A:$A,A47,'4-BILAN PAR POSTE'!$B:$B,B47)/D47)</f>
        <v>100%</v>
      </c>
      <c r="H47" s="46" t="str">
        <f t="shared" si="2"/>
        <v>60%</v>
      </c>
      <c r="I47" s="13" t="str">
        <f>SUMIFS('4-BILAN PAR POSTE'!$G:$G,'4-BILAN PAR POSTE'!$A:$A,A47,'4-BILAN PAR POSTE'!$B:$B,B47)</f>
        <v>47</v>
      </c>
      <c r="J47" s="13" t="str">
        <f>SUMIFS('4-BILAN PAR POSTE'!$F:$F,'4-BILAN PAR POSTE'!$A:$A,A47,'4-BILAN PAR POSTE'!$B:$B,B47)</f>
        <v>0</v>
      </c>
      <c r="K47" s="13" t="str">
        <f>SUMIFS('4-BILAN PAR POSTE'!$H:$H,'4-BILAN PAR POSTE'!$A:$A,A47,'4-BILAN PAR POSTE'!$B:$B,B47)</f>
        <v>0</v>
      </c>
    </row>
    <row r="48" ht="15.75" customHeight="1">
      <c r="A48" s="40">
        <v>46164.0</v>
      </c>
      <c r="B48" s="11" t="s">
        <v>105</v>
      </c>
      <c r="C48" s="18">
        <v>480.0</v>
      </c>
      <c r="D48" s="13" t="str">
        <f>SUMIFS('4-BILAN PAR POSTE'!$D:$D,'4-BILAN PAR POSTE'!$A:$A,A48,'4-BILAN PAR POSTE'!$B:$B,B48)+SUMIFS('4-BILAN PAR POSTE'!$E:$E,'4-BILAN PAR POSTE'!$A:$A,A48,'4-BILAN PAR POSTE'!$B:$B,B48)</f>
        <v>417</v>
      </c>
      <c r="E48" s="45" t="str">
        <f t="shared" si="1"/>
        <v>87%</v>
      </c>
      <c r="F48" s="45" t="str">
        <f>IF(D48=0,"",(SUMIFS('4-BILAN PAR POSTE'!$D:$D,'4-BILAN PAR POSTE'!$A:$A,A48,'4-BILAN PAR POSTE'!$B:$B,B48)+0.5*SUMIFS('4-BILAN PAR POSTE'!$E:$E,'4-BILAN PAR POSTE'!$A:$A,A48,'4-BILAN PAR POSTE'!$B:$B,B48))/D48)</f>
        <v>92%</v>
      </c>
      <c r="G48" s="45" t="str">
        <f>IF(D48=0,"",SUMIFS('4-BILAN PAR POSTE'!$D:$D,'4-BILAN PAR POSTE'!$A:$A,A48,'4-BILAN PAR POSTE'!$B:$B,B48)/D48)</f>
        <v>83%</v>
      </c>
      <c r="H48" s="46" t="str">
        <f t="shared" si="2"/>
        <v>67%</v>
      </c>
      <c r="I48" s="13" t="str">
        <f>SUMIFS('4-BILAN PAR POSTE'!$G:$G,'4-BILAN PAR POSTE'!$A:$A,A48,'4-BILAN PAR POSTE'!$B:$B,B48)</f>
        <v>48</v>
      </c>
      <c r="J48" s="13" t="str">
        <f>SUMIFS('4-BILAN PAR POSTE'!$F:$F,'4-BILAN PAR POSTE'!$A:$A,A48,'4-BILAN PAR POSTE'!$B:$B,B48)</f>
        <v>0</v>
      </c>
      <c r="K48" s="13" t="str">
        <f>SUMIFS('4-BILAN PAR POSTE'!$H:$H,'4-BILAN PAR POSTE'!$A:$A,A48,'4-BILAN PAR POSTE'!$B:$B,B48)</f>
        <v>15</v>
      </c>
    </row>
    <row r="49" ht="15.75" customHeight="1">
      <c r="A49" s="40">
        <v>46165.0</v>
      </c>
      <c r="B49" s="11" t="s">
        <v>106</v>
      </c>
      <c r="C49" s="18">
        <v>480.0</v>
      </c>
      <c r="D49" s="13" t="str">
        <f>SUMIFS('4-BILAN PAR POSTE'!$D:$D,'4-BILAN PAR POSTE'!$A:$A,A49,'4-BILAN PAR POSTE'!$B:$B,B49)+SUMIFS('4-BILAN PAR POSTE'!$E:$E,'4-BILAN PAR POSTE'!$A:$A,A49,'4-BILAN PAR POSTE'!$B:$B,B49)</f>
        <v>449</v>
      </c>
      <c r="E49" s="45" t="str">
        <f t="shared" si="1"/>
        <v>94%</v>
      </c>
      <c r="F49" s="45" t="str">
        <f>IF(D49=0,"",(SUMIFS('4-BILAN PAR POSTE'!$D:$D,'4-BILAN PAR POSTE'!$A:$A,A49,'4-BILAN PAR POSTE'!$B:$B,B49)+0.5*SUMIFS('4-BILAN PAR POSTE'!$E:$E,'4-BILAN PAR POSTE'!$A:$A,A49,'4-BILAN PAR POSTE'!$B:$B,B49))/D49)</f>
        <v>92%</v>
      </c>
      <c r="G49" s="45" t="str">
        <f>IF(D49=0,"",SUMIFS('4-BILAN PAR POSTE'!$D:$D,'4-BILAN PAR POSTE'!$A:$A,A49,'4-BILAN PAR POSTE'!$B:$B,B49)/D49)</f>
        <v>84%</v>
      </c>
      <c r="H49" s="46" t="str">
        <f t="shared" si="2"/>
        <v>72%</v>
      </c>
      <c r="I49" s="13" t="str">
        <f>SUMIFS('4-BILAN PAR POSTE'!$G:$G,'4-BILAN PAR POSTE'!$A:$A,A49,'4-BILAN PAR POSTE'!$B:$B,B49)</f>
        <v>36</v>
      </c>
      <c r="J49" s="13" t="str">
        <f>SUMIFS('4-BILAN PAR POSTE'!$F:$F,'4-BILAN PAR POSTE'!$A:$A,A49,'4-BILAN PAR POSTE'!$B:$B,B49)</f>
        <v>0</v>
      </c>
      <c r="K49" s="13" t="str">
        <f>SUMIFS('4-BILAN PAR POSTE'!$H:$H,'4-BILAN PAR POSTE'!$A:$A,A49,'4-BILAN PAR POSTE'!$B:$B,B49)</f>
        <v>0</v>
      </c>
    </row>
    <row r="50" ht="15.75" customHeight="1">
      <c r="A50" s="40">
        <v>46165.0</v>
      </c>
      <c r="B50" s="11" t="s">
        <v>104</v>
      </c>
      <c r="C50" s="18">
        <v>480.0</v>
      </c>
      <c r="D50" s="13" t="str">
        <f>SUMIFS('4-BILAN PAR POSTE'!$D:$D,'4-BILAN PAR POSTE'!$A:$A,A50,'4-BILAN PAR POSTE'!$B:$B,B50)+SUMIFS('4-BILAN PAR POSTE'!$E:$E,'4-BILAN PAR POSTE'!$A:$A,A50,'4-BILAN PAR POSTE'!$B:$B,B50)</f>
        <v>312</v>
      </c>
      <c r="E50" s="45" t="str">
        <f t="shared" si="1"/>
        <v>65%</v>
      </c>
      <c r="F50" s="45" t="str">
        <f>IF(D50=0,"",(SUMIFS('4-BILAN PAR POSTE'!$D:$D,'4-BILAN PAR POSTE'!$A:$A,A50,'4-BILAN PAR POSTE'!$B:$B,B50)+0.5*SUMIFS('4-BILAN PAR POSTE'!$E:$E,'4-BILAN PAR POSTE'!$A:$A,A50,'4-BILAN PAR POSTE'!$B:$B,B50))/D50)</f>
        <v>99%</v>
      </c>
      <c r="G50" s="45" t="str">
        <f>IF(D50=0,"",SUMIFS('4-BILAN PAR POSTE'!$D:$D,'4-BILAN PAR POSTE'!$A:$A,A50,'4-BILAN PAR POSTE'!$B:$B,B50)/D50)</f>
        <v>97%</v>
      </c>
      <c r="H50" s="46" t="str">
        <f t="shared" si="2"/>
        <v>62%</v>
      </c>
      <c r="I50" s="13" t="str">
        <f>SUMIFS('4-BILAN PAR POSTE'!$G:$G,'4-BILAN PAR POSTE'!$A:$A,A50,'4-BILAN PAR POSTE'!$B:$B,B50)</f>
        <v>60</v>
      </c>
      <c r="J50" s="13" t="str">
        <f>SUMIFS('4-BILAN PAR POSTE'!$F:$F,'4-BILAN PAR POSTE'!$A:$A,A50,'4-BILAN PAR POSTE'!$B:$B,B50)</f>
        <v>103</v>
      </c>
      <c r="K50" s="13" t="str">
        <f>SUMIFS('4-BILAN PAR POSTE'!$H:$H,'4-BILAN PAR POSTE'!$A:$A,A50,'4-BILAN PAR POSTE'!$B:$B,B50)</f>
        <v>10</v>
      </c>
    </row>
    <row r="51" ht="15.75" customHeight="1">
      <c r="A51" s="40">
        <v>46165.0</v>
      </c>
      <c r="B51" s="11" t="s">
        <v>105</v>
      </c>
      <c r="C51" s="18">
        <v>480.0</v>
      </c>
      <c r="D51" s="13" t="str">
        <f>SUMIFS('4-BILAN PAR POSTE'!$D:$D,'4-BILAN PAR POSTE'!$A:$A,A51,'4-BILAN PAR POSTE'!$B:$B,B51)+SUMIFS('4-BILAN PAR POSTE'!$E:$E,'4-BILAN PAR POSTE'!$A:$A,A51,'4-BILAN PAR POSTE'!$B:$B,B51)</f>
        <v>324</v>
      </c>
      <c r="E51" s="45" t="str">
        <f t="shared" si="1"/>
        <v>68%</v>
      </c>
      <c r="F51" s="45" t="str">
        <f>IF(D51=0,"",(SUMIFS('4-BILAN PAR POSTE'!$D:$D,'4-BILAN PAR POSTE'!$A:$A,A51,'4-BILAN PAR POSTE'!$B:$B,B51)+0.5*SUMIFS('4-BILAN PAR POSTE'!$E:$E,'4-BILAN PAR POSTE'!$A:$A,A51,'4-BILAN PAR POSTE'!$B:$B,B51))/D51)</f>
        <v>85%</v>
      </c>
      <c r="G51" s="45" t="str">
        <f>IF(D51=0,"",SUMIFS('4-BILAN PAR POSTE'!$D:$D,'4-BILAN PAR POSTE'!$A:$A,A51,'4-BILAN PAR POSTE'!$B:$B,B51)/D51)</f>
        <v>70%</v>
      </c>
      <c r="H51" s="46" t="str">
        <f t="shared" si="2"/>
        <v>40%</v>
      </c>
      <c r="I51" s="13" t="str">
        <f>SUMIFS('4-BILAN PAR POSTE'!$G:$G,'4-BILAN PAR POSTE'!$A:$A,A51,'4-BILAN PAR POSTE'!$B:$B,B51)</f>
        <v>28</v>
      </c>
      <c r="J51" s="13" t="str">
        <f>SUMIFS('4-BILAN PAR POSTE'!$F:$F,'4-BILAN PAR POSTE'!$A:$A,A51,'4-BILAN PAR POSTE'!$B:$B,B51)</f>
        <v>125</v>
      </c>
      <c r="K51" s="13" t="str">
        <f>SUMIFS('4-BILAN PAR POSTE'!$H:$H,'4-BILAN PAR POSTE'!$A:$A,A51,'4-BILAN PAR POSTE'!$B:$B,B51)</f>
        <v>1</v>
      </c>
    </row>
    <row r="52" ht="15.75" customHeight="1">
      <c r="A52" s="40">
        <v>46167.0</v>
      </c>
      <c r="B52" s="11" t="s">
        <v>106</v>
      </c>
      <c r="C52" s="18">
        <v>480.0</v>
      </c>
      <c r="D52" s="13" t="str">
        <f>SUMIFS('4-BILAN PAR POSTE'!$D:$D,'4-BILAN PAR POSTE'!$A:$A,A52,'4-BILAN PAR POSTE'!$B:$B,B52)+SUMIFS('4-BILAN PAR POSTE'!$E:$E,'4-BILAN PAR POSTE'!$A:$A,A52,'4-BILAN PAR POSTE'!$B:$B,B52)</f>
        <v>327</v>
      </c>
      <c r="E52" s="45" t="str">
        <f t="shared" si="1"/>
        <v>68%</v>
      </c>
      <c r="F52" s="45" t="str">
        <f>IF(D52=0,"",(SUMIFS('4-BILAN PAR POSTE'!$D:$D,'4-BILAN PAR POSTE'!$A:$A,A52,'4-BILAN PAR POSTE'!$B:$B,B52)+0.5*SUMIFS('4-BILAN PAR POSTE'!$E:$E,'4-BILAN PAR POSTE'!$A:$A,A52,'4-BILAN PAR POSTE'!$B:$B,B52))/D52)</f>
        <v>100%</v>
      </c>
      <c r="G52" s="45" t="str">
        <f>IF(D52=0,"",SUMIFS('4-BILAN PAR POSTE'!$D:$D,'4-BILAN PAR POSTE'!$A:$A,A52,'4-BILAN PAR POSTE'!$B:$B,B52)/D52)</f>
        <v>100%</v>
      </c>
      <c r="H52" s="46" t="str">
        <f t="shared" si="2"/>
        <v>68%</v>
      </c>
      <c r="I52" s="13" t="str">
        <f>SUMIFS('4-BILAN PAR POSTE'!$G:$G,'4-BILAN PAR POSTE'!$A:$A,A52,'4-BILAN PAR POSTE'!$B:$B,B52)</f>
        <v>23</v>
      </c>
      <c r="J52" s="13" t="str">
        <f>SUMIFS('4-BILAN PAR POSTE'!$F:$F,'4-BILAN PAR POSTE'!$A:$A,A52,'4-BILAN PAR POSTE'!$B:$B,B52)</f>
        <v>0</v>
      </c>
      <c r="K52" s="13" t="str">
        <f>SUMIFS('4-BILAN PAR POSTE'!$H:$H,'4-BILAN PAR POSTE'!$A:$A,A52,'4-BILAN PAR POSTE'!$B:$B,B52)</f>
        <v>15</v>
      </c>
    </row>
    <row r="53" ht="15.75" customHeight="1">
      <c r="A53" s="40">
        <v>46167.0</v>
      </c>
      <c r="B53" s="11" t="s">
        <v>104</v>
      </c>
      <c r="C53" s="18">
        <v>480.0</v>
      </c>
      <c r="D53" s="13" t="str">
        <f>SUMIFS('4-BILAN PAR POSTE'!$D:$D,'4-BILAN PAR POSTE'!$A:$A,A53,'4-BILAN PAR POSTE'!$B:$B,B53)+SUMIFS('4-BILAN PAR POSTE'!$E:$E,'4-BILAN PAR POSTE'!$A:$A,A53,'4-BILAN PAR POSTE'!$B:$B,B53)</f>
        <v>338</v>
      </c>
      <c r="E53" s="45" t="str">
        <f t="shared" si="1"/>
        <v>70%</v>
      </c>
      <c r="F53" s="45" t="str">
        <f>IF(D53=0,"",(SUMIFS('4-BILAN PAR POSTE'!$D:$D,'4-BILAN PAR POSTE'!$A:$A,A53,'4-BILAN PAR POSTE'!$B:$B,B53)+0.5*SUMIFS('4-BILAN PAR POSTE'!$E:$E,'4-BILAN PAR POSTE'!$A:$A,A53,'4-BILAN PAR POSTE'!$B:$B,B53))/D53)</f>
        <v>100%</v>
      </c>
      <c r="G53" s="45" t="str">
        <f>IF(D53=0,"",SUMIFS('4-BILAN PAR POSTE'!$D:$D,'4-BILAN PAR POSTE'!$A:$A,A53,'4-BILAN PAR POSTE'!$B:$B,B53)/D53)</f>
        <v>100%</v>
      </c>
      <c r="H53" s="46" t="str">
        <f t="shared" si="2"/>
        <v>70%</v>
      </c>
      <c r="I53" s="13" t="str">
        <f>SUMIFS('4-BILAN PAR POSTE'!$G:$G,'4-BILAN PAR POSTE'!$A:$A,A53,'4-BILAN PAR POSTE'!$B:$B,B53)</f>
        <v>142</v>
      </c>
      <c r="J53" s="13" t="str">
        <f>SUMIFS('4-BILAN PAR POSTE'!$F:$F,'4-BILAN PAR POSTE'!$A:$A,A53,'4-BILAN PAR POSTE'!$B:$B,B53)</f>
        <v>0</v>
      </c>
      <c r="K53" s="13" t="str">
        <f>SUMIFS('4-BILAN PAR POSTE'!$H:$H,'4-BILAN PAR POSTE'!$A:$A,A53,'4-BILAN PAR POSTE'!$B:$B,B53)</f>
        <v>0</v>
      </c>
    </row>
    <row r="54" ht="15.75" customHeight="1">
      <c r="A54" s="40">
        <v>46167.0</v>
      </c>
      <c r="B54" s="11" t="s">
        <v>105</v>
      </c>
      <c r="C54" s="18">
        <v>480.0</v>
      </c>
      <c r="D54" s="13" t="str">
        <f>SUMIFS('4-BILAN PAR POSTE'!$D:$D,'4-BILAN PAR POSTE'!$A:$A,A54,'4-BILAN PAR POSTE'!$B:$B,B54)+SUMIFS('4-BILAN PAR POSTE'!$E:$E,'4-BILAN PAR POSTE'!$A:$A,A54,'4-BILAN PAR POSTE'!$B:$B,B54)</f>
        <v>430</v>
      </c>
      <c r="E54" s="45" t="str">
        <f t="shared" si="1"/>
        <v>90%</v>
      </c>
      <c r="F54" s="45" t="str">
        <f>IF(D54=0,"",(SUMIFS('4-BILAN PAR POSTE'!$D:$D,'4-BILAN PAR POSTE'!$A:$A,A54,'4-BILAN PAR POSTE'!$B:$B,B54)+0.5*SUMIFS('4-BILAN PAR POSTE'!$E:$E,'4-BILAN PAR POSTE'!$A:$A,A54,'4-BILAN PAR POSTE'!$B:$B,B54))/D54)</f>
        <v>89%</v>
      </c>
      <c r="G54" s="45" t="str">
        <f>IF(D54=0,"",SUMIFS('4-BILAN PAR POSTE'!$D:$D,'4-BILAN PAR POSTE'!$A:$A,A54,'4-BILAN PAR POSTE'!$B:$B,B54)/D54)</f>
        <v>79%</v>
      </c>
      <c r="H54" s="46" t="str">
        <f t="shared" si="2"/>
        <v>63%</v>
      </c>
      <c r="I54" s="13" t="str">
        <f>SUMIFS('4-BILAN PAR POSTE'!$G:$G,'4-BILAN PAR POSTE'!$A:$A,A54,'4-BILAN PAR POSTE'!$B:$B,B54)</f>
        <v>54</v>
      </c>
      <c r="J54" s="13" t="str">
        <f>SUMIFS('4-BILAN PAR POSTE'!$F:$F,'4-BILAN PAR POSTE'!$A:$A,A54,'4-BILAN PAR POSTE'!$B:$B,B54)</f>
        <v>0</v>
      </c>
      <c r="K54" s="13" t="str">
        <f>SUMIFS('4-BILAN PAR POSTE'!$H:$H,'4-BILAN PAR POSTE'!$A:$A,A54,'4-BILAN PAR POSTE'!$B:$B,B54)</f>
        <v>5</v>
      </c>
    </row>
    <row r="55" ht="15.75" customHeight="1">
      <c r="A55" s="40">
        <v>46168.0</v>
      </c>
      <c r="B55" s="11" t="s">
        <v>106</v>
      </c>
      <c r="C55" s="18">
        <v>480.0</v>
      </c>
      <c r="D55" s="13" t="str">
        <f>SUMIFS('4-BILAN PAR POSTE'!$D:$D,'4-BILAN PAR POSTE'!$A:$A,A55,'4-BILAN PAR POSTE'!$B:$B,B55)+SUMIFS('4-BILAN PAR POSTE'!$E:$E,'4-BILAN PAR POSTE'!$A:$A,A55,'4-BILAN PAR POSTE'!$B:$B,B55)</f>
        <v>229</v>
      </c>
      <c r="E55" s="45" t="str">
        <f t="shared" si="1"/>
        <v>48%</v>
      </c>
      <c r="F55" s="45" t="str">
        <f>IF(D55=0,"",(SUMIFS('4-BILAN PAR POSTE'!$D:$D,'4-BILAN PAR POSTE'!$A:$A,A55,'4-BILAN PAR POSTE'!$B:$B,B55)+0.5*SUMIFS('4-BILAN PAR POSTE'!$E:$E,'4-BILAN PAR POSTE'!$A:$A,A55,'4-BILAN PAR POSTE'!$B:$B,B55))/D55)</f>
        <v>100%</v>
      </c>
      <c r="G55" s="45" t="str">
        <f>IF(D55=0,"",SUMIFS('4-BILAN PAR POSTE'!$D:$D,'4-BILAN PAR POSTE'!$A:$A,A55,'4-BILAN PAR POSTE'!$B:$B,B55)/D55)</f>
        <v>100%</v>
      </c>
      <c r="H55" s="46" t="str">
        <f t="shared" si="2"/>
        <v>48%</v>
      </c>
      <c r="I55" s="13" t="str">
        <f>SUMIFS('4-BILAN PAR POSTE'!$G:$G,'4-BILAN PAR POSTE'!$A:$A,A55,'4-BILAN PAR POSTE'!$B:$B,B55)</f>
        <v>43</v>
      </c>
      <c r="J55" s="13" t="str">
        <f>SUMIFS('4-BILAN PAR POSTE'!$F:$F,'4-BILAN PAR POSTE'!$A:$A,A55,'4-BILAN PAR POSTE'!$B:$B,B55)</f>
        <v>208</v>
      </c>
      <c r="K55" s="13" t="str">
        <f>SUMIFS('4-BILAN PAR POSTE'!$H:$H,'4-BILAN PAR POSTE'!$A:$A,A55,'4-BILAN PAR POSTE'!$B:$B,B55)</f>
        <v>10</v>
      </c>
    </row>
    <row r="56" ht="15.75" customHeight="1">
      <c r="A56" s="40">
        <v>46168.0</v>
      </c>
      <c r="B56" s="11" t="s">
        <v>105</v>
      </c>
      <c r="C56" s="18">
        <v>480.0</v>
      </c>
      <c r="D56" s="13" t="str">
        <f>SUMIFS('4-BILAN PAR POSTE'!$D:$D,'4-BILAN PAR POSTE'!$A:$A,A56,'4-BILAN PAR POSTE'!$B:$B,B56)+SUMIFS('4-BILAN PAR POSTE'!$E:$E,'4-BILAN PAR POSTE'!$A:$A,A56,'4-BILAN PAR POSTE'!$B:$B,B56)</f>
        <v>253</v>
      </c>
      <c r="E56" s="45" t="str">
        <f t="shared" si="1"/>
        <v>53%</v>
      </c>
      <c r="F56" s="45" t="str">
        <f>IF(D56=0,"",(SUMIFS('4-BILAN PAR POSTE'!$D:$D,'4-BILAN PAR POSTE'!$A:$A,A56,'4-BILAN PAR POSTE'!$B:$B,B56)+0.5*SUMIFS('4-BILAN PAR POSTE'!$E:$E,'4-BILAN PAR POSTE'!$A:$A,A56,'4-BILAN PAR POSTE'!$B:$B,B56))/D56)</f>
        <v>100%</v>
      </c>
      <c r="G56" s="45" t="str">
        <f>IF(D56=0,"",SUMIFS('4-BILAN PAR POSTE'!$D:$D,'4-BILAN PAR POSTE'!$A:$A,A56,'4-BILAN PAR POSTE'!$B:$B,B56)/D56)</f>
        <v>100%</v>
      </c>
      <c r="H56" s="46" t="str">
        <f t="shared" si="2"/>
        <v>53%</v>
      </c>
      <c r="I56" s="13" t="str">
        <f>SUMIFS('4-BILAN PAR POSTE'!$G:$G,'4-BILAN PAR POSTE'!$A:$A,A56,'4-BILAN PAR POSTE'!$B:$B,B56)</f>
        <v>25</v>
      </c>
      <c r="J56" s="13" t="str">
        <f>SUMIFS('4-BILAN PAR POSTE'!$F:$F,'4-BILAN PAR POSTE'!$A:$A,A56,'4-BILAN PAR POSTE'!$B:$B,B56)</f>
        <v>0</v>
      </c>
      <c r="K56" s="13" t="str">
        <f>SUMIFS('4-BILAN PAR POSTE'!$H:$H,'4-BILAN PAR POSTE'!$A:$A,A56,'4-BILAN PAR POSTE'!$B:$B,B56)</f>
        <v>0</v>
      </c>
    </row>
    <row r="57" ht="15.75" customHeight="1">
      <c r="A57" s="40">
        <v>46169.0</v>
      </c>
      <c r="B57" s="11" t="s">
        <v>106</v>
      </c>
      <c r="C57" s="18">
        <v>480.0</v>
      </c>
      <c r="D57" s="13" t="str">
        <f>SUMIFS('4-BILAN PAR POSTE'!$D:$D,'4-BILAN PAR POSTE'!$A:$A,A57,'4-BILAN PAR POSTE'!$B:$B,B57)+SUMIFS('4-BILAN PAR POSTE'!$E:$E,'4-BILAN PAR POSTE'!$A:$A,A57,'4-BILAN PAR POSTE'!$B:$B,B57)</f>
        <v>452</v>
      </c>
      <c r="E57" s="45" t="str">
        <f t="shared" si="1"/>
        <v>94%</v>
      </c>
      <c r="F57" s="45" t="str">
        <f>IF(D57=0,"",(SUMIFS('4-BILAN PAR POSTE'!$D:$D,'4-BILAN PAR POSTE'!$A:$A,A57,'4-BILAN PAR POSTE'!$B:$B,B57)+0.5*SUMIFS('4-BILAN PAR POSTE'!$E:$E,'4-BILAN PAR POSTE'!$A:$A,A57,'4-BILAN PAR POSTE'!$B:$B,B57))/D57)</f>
        <v>100%</v>
      </c>
      <c r="G57" s="45" t="str">
        <f>IF(D57=0,"",SUMIFS('4-BILAN PAR POSTE'!$D:$D,'4-BILAN PAR POSTE'!$A:$A,A57,'4-BILAN PAR POSTE'!$B:$B,B57)/D57)</f>
        <v>100%</v>
      </c>
      <c r="H57" s="46" t="str">
        <f t="shared" si="2"/>
        <v>94%</v>
      </c>
      <c r="I57" s="13" t="str">
        <f>SUMIFS('4-BILAN PAR POSTE'!$G:$G,'4-BILAN PAR POSTE'!$A:$A,A57,'4-BILAN PAR POSTE'!$B:$B,B57)</f>
        <v>28</v>
      </c>
      <c r="J57" s="13" t="str">
        <f>SUMIFS('4-BILAN PAR POSTE'!$F:$F,'4-BILAN PAR POSTE'!$A:$A,A57,'4-BILAN PAR POSTE'!$B:$B,B57)</f>
        <v>0</v>
      </c>
      <c r="K57" s="13" t="str">
        <f>SUMIFS('4-BILAN PAR POSTE'!$H:$H,'4-BILAN PAR POSTE'!$A:$A,A57,'4-BILAN PAR POSTE'!$B:$B,B57)</f>
        <v>2</v>
      </c>
    </row>
    <row r="58" ht="15.75" customHeight="1">
      <c r="A58" s="40">
        <v>46169.0</v>
      </c>
      <c r="B58" s="11" t="s">
        <v>104</v>
      </c>
      <c r="C58" s="18">
        <v>480.0</v>
      </c>
      <c r="D58" s="13" t="str">
        <f>SUMIFS('4-BILAN PAR POSTE'!$D:$D,'4-BILAN PAR POSTE'!$A:$A,A58,'4-BILAN PAR POSTE'!$B:$B,B58)+SUMIFS('4-BILAN PAR POSTE'!$E:$E,'4-BILAN PAR POSTE'!$A:$A,A58,'4-BILAN PAR POSTE'!$B:$B,B58)</f>
        <v>812</v>
      </c>
      <c r="E58" s="45" t="str">
        <f t="shared" si="1"/>
        <v>100%</v>
      </c>
      <c r="F58" s="45" t="str">
        <f>IF(D58=0,"",(SUMIFS('4-BILAN PAR POSTE'!$D:$D,'4-BILAN PAR POSTE'!$A:$A,A58,'4-BILAN PAR POSTE'!$B:$B,B58)+0.5*SUMIFS('4-BILAN PAR POSTE'!$E:$E,'4-BILAN PAR POSTE'!$A:$A,A58,'4-BILAN PAR POSTE'!$B:$B,B58))/D58)</f>
        <v>91%</v>
      </c>
      <c r="G58" s="45" t="str">
        <f>IF(D58=0,"",SUMIFS('4-BILAN PAR POSTE'!$D:$D,'4-BILAN PAR POSTE'!$A:$A,A58,'4-BILAN PAR POSTE'!$B:$B,B58)/D58)</f>
        <v>83%</v>
      </c>
      <c r="H58" s="46" t="str">
        <f t="shared" si="2"/>
        <v>76%</v>
      </c>
      <c r="I58" s="13" t="str">
        <f>SUMIFS('4-BILAN PAR POSTE'!$G:$G,'4-BILAN PAR POSTE'!$A:$A,A58,'4-BILAN PAR POSTE'!$B:$B,B58)</f>
        <v>144</v>
      </c>
      <c r="J58" s="13" t="str">
        <f>SUMIFS('4-BILAN PAR POSTE'!$F:$F,'4-BILAN PAR POSTE'!$A:$A,A58,'4-BILAN PAR POSTE'!$B:$B,B58)</f>
        <v>0</v>
      </c>
      <c r="K58" s="13" t="str">
        <f>SUMIFS('4-BILAN PAR POSTE'!$H:$H,'4-BILAN PAR POSTE'!$A:$A,A58,'4-BILAN PAR POSTE'!$B:$B,B58)</f>
        <v>4</v>
      </c>
    </row>
    <row r="59" ht="15.75" customHeight="1">
      <c r="A59" s="40">
        <v>46169.0</v>
      </c>
      <c r="B59" s="11" t="s">
        <v>105</v>
      </c>
      <c r="C59" s="18">
        <v>480.0</v>
      </c>
      <c r="D59" s="13" t="str">
        <f>SUMIFS('4-BILAN PAR POSTE'!$D:$D,'4-BILAN PAR POSTE'!$A:$A,A59,'4-BILAN PAR POSTE'!$B:$B,B59)+SUMIFS('4-BILAN PAR POSTE'!$E:$E,'4-BILAN PAR POSTE'!$A:$A,A59,'4-BILAN PAR POSTE'!$B:$B,B59)</f>
        <v>495</v>
      </c>
      <c r="E59" s="45" t="str">
        <f t="shared" si="1"/>
        <v>100%</v>
      </c>
      <c r="F59" s="45" t="str">
        <f>IF(D59=0,"",(SUMIFS('4-BILAN PAR POSTE'!$D:$D,'4-BILAN PAR POSTE'!$A:$A,A59,'4-BILAN PAR POSTE'!$B:$B,B59)+0.5*SUMIFS('4-BILAN PAR POSTE'!$E:$E,'4-BILAN PAR POSTE'!$A:$A,A59,'4-BILAN PAR POSTE'!$B:$B,B59))/D59)</f>
        <v>86%</v>
      </c>
      <c r="G59" s="45" t="str">
        <f>IF(D59=0,"",SUMIFS('4-BILAN PAR POSTE'!$D:$D,'4-BILAN PAR POSTE'!$A:$A,A59,'4-BILAN PAR POSTE'!$B:$B,B59)/D59)</f>
        <v>72%</v>
      </c>
      <c r="H59" s="46" t="str">
        <f t="shared" si="2"/>
        <v>62%</v>
      </c>
      <c r="I59" s="13" t="str">
        <f>SUMIFS('4-BILAN PAR POSTE'!$G:$G,'4-BILAN PAR POSTE'!$A:$A,A59,'4-BILAN PAR POSTE'!$B:$B,B59)</f>
        <v>107</v>
      </c>
      <c r="J59" s="13" t="str">
        <f>SUMIFS('4-BILAN PAR POSTE'!$F:$F,'4-BILAN PAR POSTE'!$A:$A,A59,'4-BILAN PAR POSTE'!$B:$B,B59)</f>
        <v>0</v>
      </c>
      <c r="K59" s="13" t="str">
        <f>SUMIFS('4-BILAN PAR POSTE'!$H:$H,'4-BILAN PAR POSTE'!$A:$A,A59,'4-BILAN PAR POSTE'!$B:$B,B59)</f>
        <v>19</v>
      </c>
    </row>
    <row r="60" ht="15.75" customHeight="1">
      <c r="A60" s="40">
        <v>46170.0</v>
      </c>
      <c r="B60" s="11" t="s">
        <v>106</v>
      </c>
      <c r="C60" s="18">
        <v>480.0</v>
      </c>
      <c r="D60" s="13" t="str">
        <f>SUMIFS('4-BILAN PAR POSTE'!$D:$D,'4-BILAN PAR POSTE'!$A:$A,A60,'4-BILAN PAR POSTE'!$B:$B,B60)+SUMIFS('4-BILAN PAR POSTE'!$E:$E,'4-BILAN PAR POSTE'!$A:$A,A60,'4-BILAN PAR POSTE'!$B:$B,B60)</f>
        <v>405</v>
      </c>
      <c r="E60" s="45" t="str">
        <f t="shared" si="1"/>
        <v>84%</v>
      </c>
      <c r="F60" s="45" t="str">
        <f>IF(D60=0,"",(SUMIFS('4-BILAN PAR POSTE'!$D:$D,'4-BILAN PAR POSTE'!$A:$A,A60,'4-BILAN PAR POSTE'!$B:$B,B60)+0.5*SUMIFS('4-BILAN PAR POSTE'!$E:$E,'4-BILAN PAR POSTE'!$A:$A,A60,'4-BILAN PAR POSTE'!$B:$B,B60))/D60)</f>
        <v>100%</v>
      </c>
      <c r="G60" s="45" t="str">
        <f>IF(D60=0,"",SUMIFS('4-BILAN PAR POSTE'!$D:$D,'4-BILAN PAR POSTE'!$A:$A,A60,'4-BILAN PAR POSTE'!$B:$B,B60)/D60)</f>
        <v>100%</v>
      </c>
      <c r="H60" s="46" t="str">
        <f t="shared" si="2"/>
        <v>84%</v>
      </c>
      <c r="I60" s="13" t="str">
        <f>SUMIFS('4-BILAN PAR POSTE'!$G:$G,'4-BILAN PAR POSTE'!$A:$A,A60,'4-BILAN PAR POSTE'!$B:$B,B60)</f>
        <v>54</v>
      </c>
      <c r="J60" s="13" t="str">
        <f>SUMIFS('4-BILAN PAR POSTE'!$F:$F,'4-BILAN PAR POSTE'!$A:$A,A60,'4-BILAN PAR POSTE'!$B:$B,B60)</f>
        <v>21</v>
      </c>
      <c r="K60" s="13" t="str">
        <f>SUMIFS('4-BILAN PAR POSTE'!$H:$H,'4-BILAN PAR POSTE'!$A:$A,A60,'4-BILAN PAR POSTE'!$B:$B,B60)</f>
        <v>10</v>
      </c>
    </row>
    <row r="61" ht="15.75" customHeight="1">
      <c r="A61" s="40">
        <v>46170.0</v>
      </c>
      <c r="B61" s="11" t="s">
        <v>104</v>
      </c>
      <c r="C61" s="18">
        <v>480.0</v>
      </c>
      <c r="D61" s="13" t="str">
        <f>SUMIFS('4-BILAN PAR POSTE'!$D:$D,'4-BILAN PAR POSTE'!$A:$A,A61,'4-BILAN PAR POSTE'!$B:$B,B61)+SUMIFS('4-BILAN PAR POSTE'!$E:$E,'4-BILAN PAR POSTE'!$A:$A,A61,'4-BILAN PAR POSTE'!$B:$B,B61)</f>
        <v>414</v>
      </c>
      <c r="E61" s="45" t="str">
        <f t="shared" si="1"/>
        <v>86%</v>
      </c>
      <c r="F61" s="45" t="str">
        <f>IF(D61=0,"",(SUMIFS('4-BILAN PAR POSTE'!$D:$D,'4-BILAN PAR POSTE'!$A:$A,A61,'4-BILAN PAR POSTE'!$B:$B,B61)+0.5*SUMIFS('4-BILAN PAR POSTE'!$E:$E,'4-BILAN PAR POSTE'!$A:$A,A61,'4-BILAN PAR POSTE'!$B:$B,B61))/D61)</f>
        <v>82%</v>
      </c>
      <c r="G61" s="45" t="str">
        <f>IF(D61=0,"",SUMIFS('4-BILAN PAR POSTE'!$D:$D,'4-BILAN PAR POSTE'!$A:$A,A61,'4-BILAN PAR POSTE'!$B:$B,B61)/D61)</f>
        <v>65%</v>
      </c>
      <c r="H61" s="46" t="str">
        <f t="shared" si="2"/>
        <v>46%</v>
      </c>
      <c r="I61" s="13" t="str">
        <f>SUMIFS('4-BILAN PAR POSTE'!$G:$G,'4-BILAN PAR POSTE'!$A:$A,A61,'4-BILAN PAR POSTE'!$B:$B,B61)</f>
        <v>39</v>
      </c>
      <c r="J61" s="13" t="str">
        <f>SUMIFS('4-BILAN PAR POSTE'!$F:$F,'4-BILAN PAR POSTE'!$A:$A,A61,'4-BILAN PAR POSTE'!$B:$B,B61)</f>
        <v>54</v>
      </c>
      <c r="K61" s="13" t="str">
        <f>SUMIFS('4-BILAN PAR POSTE'!$H:$H,'4-BILAN PAR POSTE'!$A:$A,A61,'4-BILAN PAR POSTE'!$B:$B,B61)</f>
        <v>5</v>
      </c>
    </row>
    <row r="62" ht="15.75" customHeight="1">
      <c r="A62" s="40">
        <v>46170.0</v>
      </c>
      <c r="B62" s="11" t="s">
        <v>105</v>
      </c>
      <c r="C62" s="18">
        <v>480.0</v>
      </c>
      <c r="D62" s="13" t="str">
        <f>SUMIFS('4-BILAN PAR POSTE'!$D:$D,'4-BILAN PAR POSTE'!$A:$A,A62,'4-BILAN PAR POSTE'!$B:$B,B62)+SUMIFS('4-BILAN PAR POSTE'!$E:$E,'4-BILAN PAR POSTE'!$A:$A,A62,'4-BILAN PAR POSTE'!$B:$B,B62)</f>
        <v>399</v>
      </c>
      <c r="E62" s="45" t="str">
        <f t="shared" si="1"/>
        <v>83%</v>
      </c>
      <c r="F62" s="45" t="str">
        <f>IF(D62=0,"",(SUMIFS('4-BILAN PAR POSTE'!$D:$D,'4-BILAN PAR POSTE'!$A:$A,A62,'4-BILAN PAR POSTE'!$B:$B,B62)+0.5*SUMIFS('4-BILAN PAR POSTE'!$E:$E,'4-BILAN PAR POSTE'!$A:$A,A62,'4-BILAN PAR POSTE'!$B:$B,B62))/D62)</f>
        <v>85%</v>
      </c>
      <c r="G62" s="45" t="str">
        <f>IF(D62=0,"",SUMIFS('4-BILAN PAR POSTE'!$D:$D,'4-BILAN PAR POSTE'!$A:$A,A62,'4-BILAN PAR POSTE'!$B:$B,B62)/D62)</f>
        <v>69%</v>
      </c>
      <c r="H62" s="46" t="str">
        <f t="shared" si="2"/>
        <v>49%</v>
      </c>
      <c r="I62" s="13" t="str">
        <f>SUMIFS('4-BILAN PAR POSTE'!$G:$G,'4-BILAN PAR POSTE'!$A:$A,A62,'4-BILAN PAR POSTE'!$B:$B,B62)</f>
        <v>76</v>
      </c>
      <c r="J62" s="13" t="str">
        <f>SUMIFS('4-BILAN PAR POSTE'!$F:$F,'4-BILAN PAR POSTE'!$A:$A,A62,'4-BILAN PAR POSTE'!$B:$B,B62)</f>
        <v>0</v>
      </c>
      <c r="K62" s="13" t="str">
        <f>SUMIFS('4-BILAN PAR POSTE'!$H:$H,'4-BILAN PAR POSTE'!$A:$A,A62,'4-BILAN PAR POSTE'!$B:$B,B62)</f>
        <v>0</v>
      </c>
    </row>
    <row r="63" ht="15.75" customHeight="1">
      <c r="A63" s="40">
        <v>46171.0</v>
      </c>
      <c r="B63" s="11" t="s">
        <v>106</v>
      </c>
      <c r="C63" s="18">
        <v>480.0</v>
      </c>
      <c r="D63" s="13" t="str">
        <f>SUMIFS('4-BILAN PAR POSTE'!$D:$D,'4-BILAN PAR POSTE'!$A:$A,A63,'4-BILAN PAR POSTE'!$B:$B,B63)+SUMIFS('4-BILAN PAR POSTE'!$E:$E,'4-BILAN PAR POSTE'!$A:$A,A63,'4-BILAN PAR POSTE'!$B:$B,B63)</f>
        <v>112</v>
      </c>
      <c r="E63" s="45" t="str">
        <f t="shared" si="1"/>
        <v>23%</v>
      </c>
      <c r="F63" s="45" t="str">
        <f>IF(D63=0,"",(SUMIFS('4-BILAN PAR POSTE'!$D:$D,'4-BILAN PAR POSTE'!$A:$A,A63,'4-BILAN PAR POSTE'!$B:$B,B63)+0.5*SUMIFS('4-BILAN PAR POSTE'!$E:$E,'4-BILAN PAR POSTE'!$A:$A,A63,'4-BILAN PAR POSTE'!$B:$B,B63))/D63)</f>
        <v>100%</v>
      </c>
      <c r="G63" s="45" t="str">
        <f>IF(D63=0,"",SUMIFS('4-BILAN PAR POSTE'!$D:$D,'4-BILAN PAR POSTE'!$A:$A,A63,'4-BILAN PAR POSTE'!$B:$B,B63)/D63)</f>
        <v>100%</v>
      </c>
      <c r="H63" s="46" t="str">
        <f t="shared" si="2"/>
        <v>23%</v>
      </c>
      <c r="I63" s="13" t="str">
        <f>SUMIFS('4-BILAN PAR POSTE'!$G:$G,'4-BILAN PAR POSTE'!$A:$A,A63,'4-BILAN PAR POSTE'!$B:$B,B63)</f>
        <v>0</v>
      </c>
      <c r="J63" s="13" t="str">
        <f>SUMIFS('4-BILAN PAR POSTE'!$F:$F,'4-BILAN PAR POSTE'!$A:$A,A63,'4-BILAN PAR POSTE'!$B:$B,B63)</f>
        <v>157</v>
      </c>
      <c r="K63" s="13" t="str">
        <f>SUMIFS('4-BILAN PAR POSTE'!$H:$H,'4-BILAN PAR POSTE'!$A:$A,A63,'4-BILAN PAR POSTE'!$B:$B,B63)</f>
        <v>0</v>
      </c>
    </row>
    <row r="64" ht="15.75" customHeight="1">
      <c r="A64" s="40">
        <v>46171.0</v>
      </c>
      <c r="B64" s="11" t="s">
        <v>104</v>
      </c>
      <c r="C64" s="18">
        <v>480.0</v>
      </c>
      <c r="D64" s="13" t="str">
        <f>SUMIFS('4-BILAN PAR POSTE'!$D:$D,'4-BILAN PAR POSTE'!$A:$A,A64,'4-BILAN PAR POSTE'!$B:$B,B64)+SUMIFS('4-BILAN PAR POSTE'!$E:$E,'4-BILAN PAR POSTE'!$A:$A,A64,'4-BILAN PAR POSTE'!$B:$B,B64)</f>
        <v>451</v>
      </c>
      <c r="E64" s="45" t="str">
        <f t="shared" si="1"/>
        <v>94%</v>
      </c>
      <c r="F64" s="45" t="str">
        <f>IF(D64=0,"",(SUMIFS('4-BILAN PAR POSTE'!$D:$D,'4-BILAN PAR POSTE'!$A:$A,A64,'4-BILAN PAR POSTE'!$B:$B,B64)+0.5*SUMIFS('4-BILAN PAR POSTE'!$E:$E,'4-BILAN PAR POSTE'!$A:$A,A64,'4-BILAN PAR POSTE'!$B:$B,B64))/D64)</f>
        <v>94%</v>
      </c>
      <c r="G64" s="45" t="str">
        <f>IF(D64=0,"",SUMIFS('4-BILAN PAR POSTE'!$D:$D,'4-BILAN PAR POSTE'!$A:$A,A64,'4-BILAN PAR POSTE'!$B:$B,B64)/D64)</f>
        <v>89%</v>
      </c>
      <c r="H64" s="46" t="str">
        <f t="shared" si="2"/>
        <v>79%</v>
      </c>
      <c r="I64" s="13" t="str">
        <f>SUMIFS('4-BILAN PAR POSTE'!$G:$G,'4-BILAN PAR POSTE'!$A:$A,A64,'4-BILAN PAR POSTE'!$B:$B,B64)</f>
        <v>29</v>
      </c>
      <c r="J64" s="13" t="str">
        <f>SUMIFS('4-BILAN PAR POSTE'!$F:$F,'4-BILAN PAR POSTE'!$A:$A,A64,'4-BILAN PAR POSTE'!$B:$B,B64)</f>
        <v>0</v>
      </c>
      <c r="K64" s="13" t="str">
        <f>SUMIFS('4-BILAN PAR POSTE'!$H:$H,'4-BILAN PAR POSTE'!$A:$A,A64,'4-BILAN PAR POSTE'!$B:$B,B64)</f>
        <v>10</v>
      </c>
    </row>
    <row r="65" ht="15.75" customHeight="1">
      <c r="A65" s="40">
        <v>46171.0</v>
      </c>
      <c r="B65" s="11" t="s">
        <v>105</v>
      </c>
      <c r="C65" s="18">
        <v>480.0</v>
      </c>
      <c r="D65" s="13" t="str">
        <f>SUMIFS('4-BILAN PAR POSTE'!$D:$D,'4-BILAN PAR POSTE'!$A:$A,A65,'4-BILAN PAR POSTE'!$B:$B,B65)+SUMIFS('4-BILAN PAR POSTE'!$E:$E,'4-BILAN PAR POSTE'!$A:$A,A65,'4-BILAN PAR POSTE'!$B:$B,B65)</f>
        <v>418</v>
      </c>
      <c r="E65" s="45" t="str">
        <f t="shared" si="1"/>
        <v>87%</v>
      </c>
      <c r="F65" s="45" t="str">
        <f>IF(D65=0,"",(SUMIFS('4-BILAN PAR POSTE'!$D:$D,'4-BILAN PAR POSTE'!$A:$A,A65,'4-BILAN PAR POSTE'!$B:$B,B65)+0.5*SUMIFS('4-BILAN PAR POSTE'!$E:$E,'4-BILAN PAR POSTE'!$A:$A,A65,'4-BILAN PAR POSTE'!$B:$B,B65))/D65)</f>
        <v>86%</v>
      </c>
      <c r="G65" s="45" t="str">
        <f>IF(D65=0,"",SUMIFS('4-BILAN PAR POSTE'!$D:$D,'4-BILAN PAR POSTE'!$A:$A,A65,'4-BILAN PAR POSTE'!$B:$B,B65)/D65)</f>
        <v>72%</v>
      </c>
      <c r="H65" s="46" t="str">
        <f t="shared" si="2"/>
        <v>54%</v>
      </c>
      <c r="I65" s="13" t="str">
        <f>SUMIFS('4-BILAN PAR POSTE'!$G:$G,'4-BILAN PAR POSTE'!$A:$A,A65,'4-BILAN PAR POSTE'!$B:$B,B65)</f>
        <v>49</v>
      </c>
      <c r="J65" s="13" t="str">
        <f>SUMIFS('4-BILAN PAR POSTE'!$F:$F,'4-BILAN PAR POSTE'!$A:$A,A65,'4-BILAN PAR POSTE'!$B:$B,B65)</f>
        <v>0</v>
      </c>
      <c r="K65" s="13" t="str">
        <f>SUMIFS('4-BILAN PAR POSTE'!$H:$H,'4-BILAN PAR POSTE'!$A:$A,A65,'4-BILAN PAR POSTE'!$B:$B,B65)</f>
        <v>0</v>
      </c>
    </row>
    <row r="66" ht="15.75" customHeight="1">
      <c r="A66" s="40">
        <v>46172.0</v>
      </c>
      <c r="B66" s="11" t="s">
        <v>106</v>
      </c>
      <c r="C66" s="18">
        <v>480.0</v>
      </c>
      <c r="D66" s="13" t="str">
        <f>SUMIFS('4-BILAN PAR POSTE'!$D:$D,'4-BILAN PAR POSTE'!$A:$A,A66,'4-BILAN PAR POSTE'!$B:$B,B66)+SUMIFS('4-BILAN PAR POSTE'!$E:$E,'4-BILAN PAR POSTE'!$A:$A,A66,'4-BILAN PAR POSTE'!$B:$B,B66)</f>
        <v>204</v>
      </c>
      <c r="E66" s="45" t="str">
        <f t="shared" si="1"/>
        <v>43%</v>
      </c>
      <c r="F66" s="45" t="str">
        <f>IF(D66=0,"",(SUMIFS('4-BILAN PAR POSTE'!$D:$D,'4-BILAN PAR POSTE'!$A:$A,A66,'4-BILAN PAR POSTE'!$B:$B,B66)+0.5*SUMIFS('4-BILAN PAR POSTE'!$E:$E,'4-BILAN PAR POSTE'!$A:$A,A66,'4-BILAN PAR POSTE'!$B:$B,B66))/D66)</f>
        <v>81%</v>
      </c>
      <c r="G66" s="45" t="str">
        <f>IF(D66=0,"",SUMIFS('4-BILAN PAR POSTE'!$D:$D,'4-BILAN PAR POSTE'!$A:$A,A66,'4-BILAN PAR POSTE'!$B:$B,B66)/D66)</f>
        <v>63%</v>
      </c>
      <c r="H66" s="46" t="str">
        <f t="shared" si="2"/>
        <v>22%</v>
      </c>
      <c r="I66" s="13" t="str">
        <f>SUMIFS('4-BILAN PAR POSTE'!$G:$G,'4-BILAN PAR POSTE'!$A:$A,A66,'4-BILAN PAR POSTE'!$B:$B,B66)</f>
        <v>56</v>
      </c>
      <c r="J66" s="13" t="str">
        <f>SUMIFS('4-BILAN PAR POSTE'!$F:$F,'4-BILAN PAR POSTE'!$A:$A,A66,'4-BILAN PAR POSTE'!$B:$B,B66)</f>
        <v>220</v>
      </c>
      <c r="K66" s="13" t="str">
        <f>SUMIFS('4-BILAN PAR POSTE'!$H:$H,'4-BILAN PAR POSTE'!$A:$A,A66,'4-BILAN PAR POSTE'!$B:$B,B66)</f>
        <v>0</v>
      </c>
    </row>
    <row r="67" ht="15.75" customHeight="1">
      <c r="A67" s="40">
        <v>46172.0</v>
      </c>
      <c r="B67" s="11" t="s">
        <v>104</v>
      </c>
      <c r="C67" s="18">
        <v>480.0</v>
      </c>
      <c r="D67" s="13" t="str">
        <f>SUMIFS('4-BILAN PAR POSTE'!$D:$D,'4-BILAN PAR POSTE'!$A:$A,A67,'4-BILAN PAR POSTE'!$B:$B,B67)+SUMIFS('4-BILAN PAR POSTE'!$E:$E,'4-BILAN PAR POSTE'!$A:$A,A67,'4-BILAN PAR POSTE'!$B:$B,B67)</f>
        <v>451</v>
      </c>
      <c r="E67" s="45" t="str">
        <f t="shared" si="1"/>
        <v>94%</v>
      </c>
      <c r="F67" s="45" t="str">
        <f>IF(D67=0,"",(SUMIFS('4-BILAN PAR POSTE'!$D:$D,'4-BILAN PAR POSTE'!$A:$A,A67,'4-BILAN PAR POSTE'!$B:$B,B67)+0.5*SUMIFS('4-BILAN PAR POSTE'!$E:$E,'4-BILAN PAR POSTE'!$A:$A,A67,'4-BILAN PAR POSTE'!$B:$B,B67))/D67)</f>
        <v>91%</v>
      </c>
      <c r="G67" s="45" t="str">
        <f>IF(D67=0,"",SUMIFS('4-BILAN PAR POSTE'!$D:$D,'4-BILAN PAR POSTE'!$A:$A,A67,'4-BILAN PAR POSTE'!$B:$B,B67)/D67)</f>
        <v>83%</v>
      </c>
      <c r="H67" s="46" t="str">
        <f t="shared" si="2"/>
        <v>71%</v>
      </c>
      <c r="I67" s="13" t="str">
        <f>SUMIFS('4-BILAN PAR POSTE'!$G:$G,'4-BILAN PAR POSTE'!$A:$A,A67,'4-BILAN PAR POSTE'!$B:$B,B67)</f>
        <v>29</v>
      </c>
      <c r="J67" s="13" t="str">
        <f>SUMIFS('4-BILAN PAR POSTE'!$F:$F,'4-BILAN PAR POSTE'!$A:$A,A67,'4-BILAN PAR POSTE'!$B:$B,B67)</f>
        <v>0</v>
      </c>
      <c r="K67" s="13" t="str">
        <f>SUMIFS('4-BILAN PAR POSTE'!$H:$H,'4-BILAN PAR POSTE'!$A:$A,A67,'4-BILAN PAR POSTE'!$B:$B,B67)</f>
        <v>5</v>
      </c>
    </row>
    <row r="68" ht="15.75" customHeight="1">
      <c r="A68" s="40">
        <v>46172.0</v>
      </c>
      <c r="B68" s="11" t="s">
        <v>105</v>
      </c>
      <c r="C68" s="18">
        <v>480.0</v>
      </c>
      <c r="D68" s="13" t="str">
        <f>SUMIFS('4-BILAN PAR POSTE'!$D:$D,'4-BILAN PAR POSTE'!$A:$A,A68,'4-BILAN PAR POSTE'!$B:$B,B68)+SUMIFS('4-BILAN PAR POSTE'!$E:$E,'4-BILAN PAR POSTE'!$A:$A,A68,'4-BILAN PAR POSTE'!$B:$B,B68)</f>
        <v>271</v>
      </c>
      <c r="E68" s="45" t="str">
        <f t="shared" si="1"/>
        <v>56%</v>
      </c>
      <c r="F68" s="45" t="str">
        <f>IF(D68=0,"",(SUMIFS('4-BILAN PAR POSTE'!$D:$D,'4-BILAN PAR POSTE'!$A:$A,A68,'4-BILAN PAR POSTE'!$B:$B,B68)+0.5*SUMIFS('4-BILAN PAR POSTE'!$E:$E,'4-BILAN PAR POSTE'!$A:$A,A68,'4-BILAN PAR POSTE'!$B:$B,B68))/D68)</f>
        <v>100%</v>
      </c>
      <c r="G68" s="45" t="str">
        <f>IF(D68=0,"",SUMIFS('4-BILAN PAR POSTE'!$D:$D,'4-BILAN PAR POSTE'!$A:$A,A68,'4-BILAN PAR POSTE'!$B:$B,B68)/D68)</f>
        <v>100%</v>
      </c>
      <c r="H68" s="46" t="str">
        <f t="shared" si="2"/>
        <v>56%</v>
      </c>
      <c r="I68" s="13" t="str">
        <f>SUMIFS('4-BILAN PAR POSTE'!$G:$G,'4-BILAN PAR POSTE'!$A:$A,A68,'4-BILAN PAR POSTE'!$B:$B,B68)</f>
        <v>25</v>
      </c>
      <c r="J68" s="13" t="str">
        <f>SUMIFS('4-BILAN PAR POSTE'!$F:$F,'4-BILAN PAR POSTE'!$A:$A,A68,'4-BILAN PAR POSTE'!$B:$B,B68)</f>
        <v>0</v>
      </c>
      <c r="K68" s="13" t="str">
        <f>SUMIFS('4-BILAN PAR POSTE'!$H:$H,'4-BILAN PAR POSTE'!$A:$A,A68,'4-BILAN PAR POSTE'!$B:$B,B68)</f>
        <v>9</v>
      </c>
    </row>
    <row r="69" ht="15.75" customHeight="1">
      <c r="A69" s="40">
        <v>46173.0</v>
      </c>
      <c r="B69" s="11" t="s">
        <v>106</v>
      </c>
      <c r="C69" s="18">
        <v>480.0</v>
      </c>
      <c r="D69" s="13" t="str">
        <f>SUMIFS('4-BILAN PAR POSTE'!$D:$D,'4-BILAN PAR POSTE'!$A:$A,A69,'4-BILAN PAR POSTE'!$B:$B,B69)+SUMIFS('4-BILAN PAR POSTE'!$E:$E,'4-BILAN PAR POSTE'!$A:$A,A69,'4-BILAN PAR POSTE'!$B:$B,B69)</f>
        <v>456</v>
      </c>
      <c r="E69" s="45" t="str">
        <f t="shared" si="1"/>
        <v>95%</v>
      </c>
      <c r="F69" s="45" t="str">
        <f>IF(D69=0,"",(SUMIFS('4-BILAN PAR POSTE'!$D:$D,'4-BILAN PAR POSTE'!$A:$A,A69,'4-BILAN PAR POSTE'!$B:$B,B69)+0.5*SUMIFS('4-BILAN PAR POSTE'!$E:$E,'4-BILAN PAR POSTE'!$A:$A,A69,'4-BILAN PAR POSTE'!$B:$B,B69))/D69)</f>
        <v>100%</v>
      </c>
      <c r="G69" s="45" t="str">
        <f>IF(D69=0,"",SUMIFS('4-BILAN PAR POSTE'!$D:$D,'4-BILAN PAR POSTE'!$A:$A,A69,'4-BILAN PAR POSTE'!$B:$B,B69)/D69)</f>
        <v>100%</v>
      </c>
      <c r="H69" s="46" t="str">
        <f t="shared" si="2"/>
        <v>95%</v>
      </c>
      <c r="I69" s="13" t="str">
        <f>SUMIFS('4-BILAN PAR POSTE'!$G:$G,'4-BILAN PAR POSTE'!$A:$A,A69,'4-BILAN PAR POSTE'!$B:$B,B69)</f>
        <v>24</v>
      </c>
      <c r="J69" s="13" t="str">
        <f>SUMIFS('4-BILAN PAR POSTE'!$F:$F,'4-BILAN PAR POSTE'!$A:$A,A69,'4-BILAN PAR POSTE'!$B:$B,B69)</f>
        <v>0</v>
      </c>
      <c r="K69" s="13" t="str">
        <f>SUMIFS('4-BILAN PAR POSTE'!$H:$H,'4-BILAN PAR POSTE'!$A:$A,A69,'4-BILAN PAR POSTE'!$B:$B,B69)</f>
        <v>7</v>
      </c>
    </row>
    <row r="70" ht="15.75" customHeight="1">
      <c r="A70" s="40">
        <v>46173.0</v>
      </c>
      <c r="B70" s="11" t="s">
        <v>104</v>
      </c>
      <c r="C70" s="18">
        <v>480.0</v>
      </c>
      <c r="D70" s="13" t="str">
        <f>SUMIFS('4-BILAN PAR POSTE'!$D:$D,'4-BILAN PAR POSTE'!$A:$A,A70,'4-BILAN PAR POSTE'!$B:$B,B70)+SUMIFS('4-BILAN PAR POSTE'!$E:$E,'4-BILAN PAR POSTE'!$A:$A,A70,'4-BILAN PAR POSTE'!$B:$B,B70)</f>
        <v>424</v>
      </c>
      <c r="E70" s="45" t="str">
        <f t="shared" si="1"/>
        <v>88%</v>
      </c>
      <c r="F70" s="45" t="str">
        <f>IF(D70=0,"",(SUMIFS('4-BILAN PAR POSTE'!$D:$D,'4-BILAN PAR POSTE'!$A:$A,A70,'4-BILAN PAR POSTE'!$B:$B,B70)+0.5*SUMIFS('4-BILAN PAR POSTE'!$E:$E,'4-BILAN PAR POSTE'!$A:$A,A70,'4-BILAN PAR POSTE'!$B:$B,B70))/D70)</f>
        <v>100%</v>
      </c>
      <c r="G70" s="45" t="str">
        <f>IF(D70=0,"",SUMIFS('4-BILAN PAR POSTE'!$D:$D,'4-BILAN PAR POSTE'!$A:$A,A70,'4-BILAN PAR POSTE'!$B:$B,B70)/D70)</f>
        <v>100%</v>
      </c>
      <c r="H70" s="46" t="str">
        <f t="shared" si="2"/>
        <v>88%</v>
      </c>
      <c r="I70" s="13" t="str">
        <f>SUMIFS('4-BILAN PAR POSTE'!$G:$G,'4-BILAN PAR POSTE'!$A:$A,A70,'4-BILAN PAR POSTE'!$B:$B,B70)</f>
        <v>30</v>
      </c>
      <c r="J70" s="13" t="str">
        <f>SUMIFS('4-BILAN PAR POSTE'!$F:$F,'4-BILAN PAR POSTE'!$A:$A,A70,'4-BILAN PAR POSTE'!$B:$B,B70)</f>
        <v>26</v>
      </c>
      <c r="K70" s="13" t="str">
        <f>SUMIFS('4-BILAN PAR POSTE'!$H:$H,'4-BILAN PAR POSTE'!$A:$A,A70,'4-BILAN PAR POSTE'!$B:$B,B70)</f>
        <v>0</v>
      </c>
    </row>
    <row r="71" ht="15.75" customHeight="1">
      <c r="A71" s="40">
        <v>46173.0</v>
      </c>
      <c r="B71" s="11" t="s">
        <v>105</v>
      </c>
      <c r="C71" s="18">
        <v>480.0</v>
      </c>
      <c r="D71" s="13" t="str">
        <f>SUMIFS('4-BILAN PAR POSTE'!$D:$D,'4-BILAN PAR POSTE'!$A:$A,A71,'4-BILAN PAR POSTE'!$B:$B,B71)+SUMIFS('4-BILAN PAR POSTE'!$E:$E,'4-BILAN PAR POSTE'!$A:$A,A71,'4-BILAN PAR POSTE'!$B:$B,B71)</f>
        <v>351</v>
      </c>
      <c r="E71" s="45" t="str">
        <f t="shared" si="1"/>
        <v>73%</v>
      </c>
      <c r="F71" s="45" t="str">
        <f>IF(D71=0,"",(SUMIFS('4-BILAN PAR POSTE'!$D:$D,'4-BILAN PAR POSTE'!$A:$A,A71,'4-BILAN PAR POSTE'!$B:$B,B71)+0.5*SUMIFS('4-BILAN PAR POSTE'!$E:$E,'4-BILAN PAR POSTE'!$A:$A,A71,'4-BILAN PAR POSTE'!$B:$B,B71))/D71)</f>
        <v>100%</v>
      </c>
      <c r="G71" s="45" t="str">
        <f>IF(D71=0,"",SUMIFS('4-BILAN PAR POSTE'!$D:$D,'4-BILAN PAR POSTE'!$A:$A,A71,'4-BILAN PAR POSTE'!$B:$B,B71)/D71)</f>
        <v>100%</v>
      </c>
      <c r="H71" s="46" t="str">
        <f t="shared" si="2"/>
        <v>73%</v>
      </c>
      <c r="I71" s="13" t="str">
        <f>SUMIFS('4-BILAN PAR POSTE'!$G:$G,'4-BILAN PAR POSTE'!$A:$A,A71,'4-BILAN PAR POSTE'!$B:$B,B71)</f>
        <v>12</v>
      </c>
      <c r="J71" s="13" t="str">
        <f>SUMIFS('4-BILAN PAR POSTE'!$F:$F,'4-BILAN PAR POSTE'!$A:$A,A71,'4-BILAN PAR POSTE'!$B:$B,B71)</f>
        <v>0</v>
      </c>
      <c r="K71" s="13" t="str">
        <f>SUMIFS('4-BILAN PAR POSTE'!$H:$H,'4-BILAN PAR POSTE'!$A:$A,A71,'4-BILAN PAR POSTE'!$B:$B,B71)</f>
        <v>1</v>
      </c>
    </row>
    <row r="72" ht="15.75" customHeight="1">
      <c r="A72" s="40">
        <v>46174.0</v>
      </c>
      <c r="B72" s="11" t="s">
        <v>106</v>
      </c>
      <c r="C72" s="18">
        <v>480.0</v>
      </c>
      <c r="D72" s="13" t="str">
        <f>SUMIFS('4-BILAN PAR POSTE'!$D:$D,'4-BILAN PAR POSTE'!$A:$A,A72,'4-BILAN PAR POSTE'!$B:$B,B72)+SUMIFS('4-BILAN PAR POSTE'!$E:$E,'4-BILAN PAR POSTE'!$A:$A,A72,'4-BILAN PAR POSTE'!$B:$B,B72)</f>
        <v>437</v>
      </c>
      <c r="E72" s="45" t="str">
        <f t="shared" si="1"/>
        <v>91%</v>
      </c>
      <c r="F72" s="45" t="str">
        <f>IF(D72=0,"",(SUMIFS('4-BILAN PAR POSTE'!$D:$D,'4-BILAN PAR POSTE'!$A:$A,A72,'4-BILAN PAR POSTE'!$B:$B,B72)+0.5*SUMIFS('4-BILAN PAR POSTE'!$E:$E,'4-BILAN PAR POSTE'!$A:$A,A72,'4-BILAN PAR POSTE'!$B:$B,B72))/D72)</f>
        <v>89%</v>
      </c>
      <c r="G72" s="45" t="str">
        <f>IF(D72=0,"",SUMIFS('4-BILAN PAR POSTE'!$D:$D,'4-BILAN PAR POSTE'!$A:$A,A72,'4-BILAN PAR POSTE'!$B:$B,B72)/D72)</f>
        <v>77%</v>
      </c>
      <c r="H72" s="46" t="str">
        <f t="shared" si="2"/>
        <v>62%</v>
      </c>
      <c r="I72" s="13" t="str">
        <f>SUMIFS('4-BILAN PAR POSTE'!$G:$G,'4-BILAN PAR POSTE'!$A:$A,A72,'4-BILAN PAR POSTE'!$B:$B,B72)</f>
        <v>43</v>
      </c>
      <c r="J72" s="13" t="str">
        <f>SUMIFS('4-BILAN PAR POSTE'!$F:$F,'4-BILAN PAR POSTE'!$A:$A,A72,'4-BILAN PAR POSTE'!$B:$B,B72)</f>
        <v>0</v>
      </c>
      <c r="K72" s="13" t="str">
        <f>SUMIFS('4-BILAN PAR POSTE'!$H:$H,'4-BILAN PAR POSTE'!$A:$A,A72,'4-BILAN PAR POSTE'!$B:$B,B72)</f>
        <v>3</v>
      </c>
    </row>
    <row r="73" ht="15.75" customHeight="1">
      <c r="A73" s="40">
        <v>46174.0</v>
      </c>
      <c r="B73" s="11" t="s">
        <v>104</v>
      </c>
      <c r="C73" s="18">
        <v>480.0</v>
      </c>
      <c r="D73" s="13" t="str">
        <f>SUMIFS('4-BILAN PAR POSTE'!$D:$D,'4-BILAN PAR POSTE'!$A:$A,A73,'4-BILAN PAR POSTE'!$B:$B,B73)+SUMIFS('4-BILAN PAR POSTE'!$E:$E,'4-BILAN PAR POSTE'!$A:$A,A73,'4-BILAN PAR POSTE'!$B:$B,B73)</f>
        <v>281</v>
      </c>
      <c r="E73" s="45" t="str">
        <f t="shared" si="1"/>
        <v>59%</v>
      </c>
      <c r="F73" s="45" t="str">
        <f>IF(D73=0,"",(SUMIFS('4-BILAN PAR POSTE'!$D:$D,'4-BILAN PAR POSTE'!$A:$A,A73,'4-BILAN PAR POSTE'!$B:$B,B73)+0.5*SUMIFS('4-BILAN PAR POSTE'!$E:$E,'4-BILAN PAR POSTE'!$A:$A,A73,'4-BILAN PAR POSTE'!$B:$B,B73))/D73)</f>
        <v>93%</v>
      </c>
      <c r="G73" s="45" t="str">
        <f>IF(D73=0,"",SUMIFS('4-BILAN PAR POSTE'!$D:$D,'4-BILAN PAR POSTE'!$A:$A,A73,'4-BILAN PAR POSTE'!$B:$B,B73)/D73)</f>
        <v>85%</v>
      </c>
      <c r="H73" s="46" t="str">
        <f t="shared" si="2"/>
        <v>46%</v>
      </c>
      <c r="I73" s="13" t="str">
        <f>SUMIFS('4-BILAN PAR POSTE'!$G:$G,'4-BILAN PAR POSTE'!$A:$A,A73,'4-BILAN PAR POSTE'!$B:$B,B73)</f>
        <v>84</v>
      </c>
      <c r="J73" s="13" t="str">
        <f>SUMIFS('4-BILAN PAR POSTE'!$F:$F,'4-BILAN PAR POSTE'!$A:$A,A73,'4-BILAN PAR POSTE'!$B:$B,B73)</f>
        <v>0</v>
      </c>
      <c r="K73" s="13" t="str">
        <f>SUMIFS('4-BILAN PAR POSTE'!$H:$H,'4-BILAN PAR POSTE'!$A:$A,A73,'4-BILAN PAR POSTE'!$B:$B,B73)</f>
        <v>0</v>
      </c>
    </row>
    <row r="74" ht="15.75" customHeight="1">
      <c r="A74" s="40">
        <v>46174.0</v>
      </c>
      <c r="B74" s="11" t="s">
        <v>105</v>
      </c>
      <c r="C74" s="18">
        <v>480.0</v>
      </c>
      <c r="D74" s="13" t="str">
        <f>SUMIFS('4-BILAN PAR POSTE'!$D:$D,'4-BILAN PAR POSTE'!$A:$A,A74,'4-BILAN PAR POSTE'!$B:$B,B74)+SUMIFS('4-BILAN PAR POSTE'!$E:$E,'4-BILAN PAR POSTE'!$A:$A,A74,'4-BILAN PAR POSTE'!$B:$B,B74)</f>
        <v>111</v>
      </c>
      <c r="E74" s="45" t="str">
        <f t="shared" si="1"/>
        <v>23%</v>
      </c>
      <c r="F74" s="45" t="str">
        <f>IF(D74=0,"",(SUMIFS('4-BILAN PAR POSTE'!$D:$D,'4-BILAN PAR POSTE'!$A:$A,A74,'4-BILAN PAR POSTE'!$B:$B,B74)+0.5*SUMIFS('4-BILAN PAR POSTE'!$E:$E,'4-BILAN PAR POSTE'!$A:$A,A74,'4-BILAN PAR POSTE'!$B:$B,B74))/D74)</f>
        <v>100%</v>
      </c>
      <c r="G74" s="45" t="str">
        <f>IF(D74=0,"",SUMIFS('4-BILAN PAR POSTE'!$D:$D,'4-BILAN PAR POSTE'!$A:$A,A74,'4-BILAN PAR POSTE'!$B:$B,B74)/D74)</f>
        <v>100%</v>
      </c>
      <c r="H74" s="46" t="str">
        <f t="shared" si="2"/>
        <v>23%</v>
      </c>
      <c r="I74" s="13" t="str">
        <f>SUMIFS('4-BILAN PAR POSTE'!$G:$G,'4-BILAN PAR POSTE'!$A:$A,A74,'4-BILAN PAR POSTE'!$B:$B,B74)</f>
        <v>71</v>
      </c>
      <c r="J74" s="13" t="str">
        <f>SUMIFS('4-BILAN PAR POSTE'!$F:$F,'4-BILAN PAR POSTE'!$A:$A,A74,'4-BILAN PAR POSTE'!$B:$B,B74)</f>
        <v>160</v>
      </c>
      <c r="K74" s="13" t="str">
        <f>SUMIFS('4-BILAN PAR POSTE'!$H:$H,'4-BILAN PAR POSTE'!$A:$A,A74,'4-BILAN PAR POSTE'!$B:$B,B74)</f>
        <v>11</v>
      </c>
    </row>
    <row r="75" ht="15.75" customHeight="1">
      <c r="A75" s="40">
        <v>46175.0</v>
      </c>
      <c r="B75" s="11" t="s">
        <v>106</v>
      </c>
      <c r="C75" s="18">
        <v>480.0</v>
      </c>
      <c r="D75" s="13" t="str">
        <f>SUMIFS('4-BILAN PAR POSTE'!$D:$D,'4-BILAN PAR POSTE'!$A:$A,A75,'4-BILAN PAR POSTE'!$B:$B,B75)+SUMIFS('4-BILAN PAR POSTE'!$E:$E,'4-BILAN PAR POSTE'!$A:$A,A75,'4-BILAN PAR POSTE'!$B:$B,B75)</f>
        <v>399</v>
      </c>
      <c r="E75" s="45" t="str">
        <f t="shared" si="1"/>
        <v>83%</v>
      </c>
      <c r="F75" s="45" t="str">
        <f>IF(D75=0,"",(SUMIFS('4-BILAN PAR POSTE'!$D:$D,'4-BILAN PAR POSTE'!$A:$A,A75,'4-BILAN PAR POSTE'!$B:$B,B75)+0.5*SUMIFS('4-BILAN PAR POSTE'!$E:$E,'4-BILAN PAR POSTE'!$A:$A,A75,'4-BILAN PAR POSTE'!$B:$B,B75))/D75)</f>
        <v>71%</v>
      </c>
      <c r="G75" s="45" t="str">
        <f>IF(D75=0,"",SUMIFS('4-BILAN PAR POSTE'!$D:$D,'4-BILAN PAR POSTE'!$A:$A,A75,'4-BILAN PAR POSTE'!$B:$B,B75)/D75)</f>
        <v>43%</v>
      </c>
      <c r="H75" s="46" t="str">
        <f t="shared" si="2"/>
        <v>25%</v>
      </c>
      <c r="I75" s="13" t="str">
        <f>SUMIFS('4-BILAN PAR POSTE'!$G:$G,'4-BILAN PAR POSTE'!$A:$A,A75,'4-BILAN PAR POSTE'!$B:$B,B75)</f>
        <v>25</v>
      </c>
      <c r="J75" s="13" t="str">
        <f>SUMIFS('4-BILAN PAR POSTE'!$F:$F,'4-BILAN PAR POSTE'!$A:$A,A75,'4-BILAN PAR POSTE'!$B:$B,B75)</f>
        <v>56</v>
      </c>
      <c r="K75" s="13" t="str">
        <f>SUMIFS('4-BILAN PAR POSTE'!$H:$H,'4-BILAN PAR POSTE'!$A:$A,A75,'4-BILAN PAR POSTE'!$B:$B,B75)</f>
        <v>4</v>
      </c>
    </row>
    <row r="76" ht="15.75" customHeight="1">
      <c r="A76" s="40">
        <v>46175.0</v>
      </c>
      <c r="B76" s="11" t="s">
        <v>104</v>
      </c>
      <c r="C76" s="18">
        <v>480.0</v>
      </c>
      <c r="D76" s="13" t="str">
        <f>SUMIFS('4-BILAN PAR POSTE'!$D:$D,'4-BILAN PAR POSTE'!$A:$A,A76,'4-BILAN PAR POSTE'!$B:$B,B76)+SUMIFS('4-BILAN PAR POSTE'!$E:$E,'4-BILAN PAR POSTE'!$A:$A,A76,'4-BILAN PAR POSTE'!$B:$B,B76)</f>
        <v>459</v>
      </c>
      <c r="E76" s="45" t="str">
        <f t="shared" si="1"/>
        <v>96%</v>
      </c>
      <c r="F76" s="45" t="str">
        <f>IF(D76=0,"",(SUMIFS('4-BILAN PAR POSTE'!$D:$D,'4-BILAN PAR POSTE'!$A:$A,A76,'4-BILAN PAR POSTE'!$B:$B,B76)+0.5*SUMIFS('4-BILAN PAR POSTE'!$E:$E,'4-BILAN PAR POSTE'!$A:$A,A76,'4-BILAN PAR POSTE'!$B:$B,B76))/D76)</f>
        <v>100%</v>
      </c>
      <c r="G76" s="45" t="str">
        <f>IF(D76=0,"",SUMIFS('4-BILAN PAR POSTE'!$D:$D,'4-BILAN PAR POSTE'!$A:$A,A76,'4-BILAN PAR POSTE'!$B:$B,B76)/D76)</f>
        <v>100%</v>
      </c>
      <c r="H76" s="46" t="str">
        <f t="shared" si="2"/>
        <v>96%</v>
      </c>
      <c r="I76" s="13" t="str">
        <f>SUMIFS('4-BILAN PAR POSTE'!$G:$G,'4-BILAN PAR POSTE'!$A:$A,A76,'4-BILAN PAR POSTE'!$B:$B,B76)</f>
        <v>21</v>
      </c>
      <c r="J76" s="13" t="str">
        <f>SUMIFS('4-BILAN PAR POSTE'!$F:$F,'4-BILAN PAR POSTE'!$A:$A,A76,'4-BILAN PAR POSTE'!$B:$B,B76)</f>
        <v>0</v>
      </c>
      <c r="K76" s="13" t="str">
        <f>SUMIFS('4-BILAN PAR POSTE'!$H:$H,'4-BILAN PAR POSTE'!$A:$A,A76,'4-BILAN PAR POSTE'!$B:$B,B76)</f>
        <v>0</v>
      </c>
    </row>
    <row r="77" ht="15.75" customHeight="1">
      <c r="A77" s="40">
        <v>46175.0</v>
      </c>
      <c r="B77" s="11" t="s">
        <v>105</v>
      </c>
      <c r="C77" s="18">
        <v>480.0</v>
      </c>
      <c r="D77" s="13" t="str">
        <f>SUMIFS('4-BILAN PAR POSTE'!$D:$D,'4-BILAN PAR POSTE'!$A:$A,A77,'4-BILAN PAR POSTE'!$B:$B,B77)+SUMIFS('4-BILAN PAR POSTE'!$E:$E,'4-BILAN PAR POSTE'!$A:$A,A77,'4-BILAN PAR POSTE'!$B:$B,B77)</f>
        <v>432</v>
      </c>
      <c r="E77" s="45" t="str">
        <f t="shared" si="1"/>
        <v>90%</v>
      </c>
      <c r="F77" s="45" t="str">
        <f>IF(D77=0,"",(SUMIFS('4-BILAN PAR POSTE'!$D:$D,'4-BILAN PAR POSTE'!$A:$A,A77,'4-BILAN PAR POSTE'!$B:$B,B77)+0.5*SUMIFS('4-BILAN PAR POSTE'!$E:$E,'4-BILAN PAR POSTE'!$A:$A,A77,'4-BILAN PAR POSTE'!$B:$B,B77))/D77)</f>
        <v>82%</v>
      </c>
      <c r="G77" s="45" t="str">
        <f>IF(D77=0,"",SUMIFS('4-BILAN PAR POSTE'!$D:$D,'4-BILAN PAR POSTE'!$A:$A,A77,'4-BILAN PAR POSTE'!$B:$B,B77)/D77)</f>
        <v>64%</v>
      </c>
      <c r="H77" s="46" t="str">
        <f t="shared" si="2"/>
        <v>47%</v>
      </c>
      <c r="I77" s="13" t="str">
        <f>SUMIFS('4-BILAN PAR POSTE'!$G:$G,'4-BILAN PAR POSTE'!$A:$A,A77,'4-BILAN PAR POSTE'!$B:$B,B77)</f>
        <v>35</v>
      </c>
      <c r="J77" s="13" t="str">
        <f>SUMIFS('4-BILAN PAR POSTE'!$F:$F,'4-BILAN PAR POSTE'!$A:$A,A77,'4-BILAN PAR POSTE'!$B:$B,B77)</f>
        <v>0</v>
      </c>
      <c r="K77" s="13" t="str">
        <f>SUMIFS('4-BILAN PAR POSTE'!$H:$H,'4-BILAN PAR POSTE'!$A:$A,A77,'4-BILAN PAR POSTE'!$B:$B,B77)</f>
        <v>10</v>
      </c>
    </row>
    <row r="78" ht="15.75" customHeight="1">
      <c r="A78" s="40">
        <v>46176.0</v>
      </c>
      <c r="B78" s="11" t="s">
        <v>106</v>
      </c>
      <c r="C78" s="18">
        <v>480.0</v>
      </c>
      <c r="D78" s="13" t="str">
        <f>SUMIFS('4-BILAN PAR POSTE'!$D:$D,'4-BILAN PAR POSTE'!$A:$A,A78,'4-BILAN PAR POSTE'!$B:$B,B78)+SUMIFS('4-BILAN PAR POSTE'!$E:$E,'4-BILAN PAR POSTE'!$A:$A,A78,'4-BILAN PAR POSTE'!$B:$B,B78)</f>
        <v>352</v>
      </c>
      <c r="E78" s="45" t="str">
        <f t="shared" si="1"/>
        <v>73%</v>
      </c>
      <c r="F78" s="45" t="str">
        <f>IF(D78=0,"",(SUMIFS('4-BILAN PAR POSTE'!$D:$D,'4-BILAN PAR POSTE'!$A:$A,A78,'4-BILAN PAR POSTE'!$B:$B,B78)+0.5*SUMIFS('4-BILAN PAR POSTE'!$E:$E,'4-BILAN PAR POSTE'!$A:$A,A78,'4-BILAN PAR POSTE'!$B:$B,B78))/D78)</f>
        <v>100%</v>
      </c>
      <c r="G78" s="45" t="str">
        <f>IF(D78=0,"",SUMIFS('4-BILAN PAR POSTE'!$D:$D,'4-BILAN PAR POSTE'!$A:$A,A78,'4-BILAN PAR POSTE'!$B:$B,B78)/D78)</f>
        <v>100%</v>
      </c>
      <c r="H78" s="46" t="str">
        <f t="shared" si="2"/>
        <v>73%</v>
      </c>
      <c r="I78" s="13" t="str">
        <f>SUMIFS('4-BILAN PAR POSTE'!$G:$G,'4-BILAN PAR POSTE'!$A:$A,A78,'4-BILAN PAR POSTE'!$B:$B,B78)</f>
        <v>128</v>
      </c>
      <c r="J78" s="13" t="str">
        <f>SUMIFS('4-BILAN PAR POSTE'!$F:$F,'4-BILAN PAR POSTE'!$A:$A,A78,'4-BILAN PAR POSTE'!$B:$B,B78)</f>
        <v>113</v>
      </c>
      <c r="K78" s="13" t="str">
        <f>SUMIFS('4-BILAN PAR POSTE'!$H:$H,'4-BILAN PAR POSTE'!$A:$A,A78,'4-BILAN PAR POSTE'!$B:$B,B78)</f>
        <v>122</v>
      </c>
    </row>
    <row r="79" ht="15.75" customHeight="1">
      <c r="A79" s="40">
        <v>46176.0</v>
      </c>
      <c r="B79" s="11" t="s">
        <v>104</v>
      </c>
      <c r="C79" s="18">
        <v>480.0</v>
      </c>
      <c r="D79" s="13" t="str">
        <f>SUMIFS('4-BILAN PAR POSTE'!$D:$D,'4-BILAN PAR POSTE'!$A:$A,A79,'4-BILAN PAR POSTE'!$B:$B,B79)+SUMIFS('4-BILAN PAR POSTE'!$E:$E,'4-BILAN PAR POSTE'!$A:$A,A79,'4-BILAN PAR POSTE'!$B:$B,B79)</f>
        <v>380</v>
      </c>
      <c r="E79" s="45" t="str">
        <f t="shared" si="1"/>
        <v>79%</v>
      </c>
      <c r="F79" s="45" t="str">
        <f>IF(D79=0,"",(SUMIFS('4-BILAN PAR POSTE'!$D:$D,'4-BILAN PAR POSTE'!$A:$A,A79,'4-BILAN PAR POSTE'!$B:$B,B79)+0.5*SUMIFS('4-BILAN PAR POSTE'!$E:$E,'4-BILAN PAR POSTE'!$A:$A,A79,'4-BILAN PAR POSTE'!$B:$B,B79))/D79)</f>
        <v>100%</v>
      </c>
      <c r="G79" s="45" t="str">
        <f>IF(D79=0,"",SUMIFS('4-BILAN PAR POSTE'!$D:$D,'4-BILAN PAR POSTE'!$A:$A,A79,'4-BILAN PAR POSTE'!$B:$B,B79)/D79)</f>
        <v>100%</v>
      </c>
      <c r="H79" s="46" t="str">
        <f t="shared" si="2"/>
        <v>79%</v>
      </c>
      <c r="I79" s="13" t="str">
        <f>SUMIFS('4-BILAN PAR POSTE'!$G:$G,'4-BILAN PAR POSTE'!$A:$A,A79,'4-BILAN PAR POSTE'!$B:$B,B79)</f>
        <v>19</v>
      </c>
      <c r="J79" s="13" t="str">
        <f>SUMIFS('4-BILAN PAR POSTE'!$F:$F,'4-BILAN PAR POSTE'!$A:$A,A79,'4-BILAN PAR POSTE'!$B:$B,B79)</f>
        <v>81</v>
      </c>
      <c r="K79" s="13" t="str">
        <f>SUMIFS('4-BILAN PAR POSTE'!$H:$H,'4-BILAN PAR POSTE'!$A:$A,A79,'4-BILAN PAR POSTE'!$B:$B,B79)</f>
        <v>0</v>
      </c>
    </row>
    <row r="80" ht="15.75" customHeight="1">
      <c r="A80" s="40">
        <v>46176.0</v>
      </c>
      <c r="B80" s="11" t="s">
        <v>105</v>
      </c>
      <c r="C80" s="18">
        <v>480.0</v>
      </c>
      <c r="D80" s="13" t="str">
        <f>SUMIFS('4-BILAN PAR POSTE'!$D:$D,'4-BILAN PAR POSTE'!$A:$A,A80,'4-BILAN PAR POSTE'!$B:$B,B80)+SUMIFS('4-BILAN PAR POSTE'!$E:$E,'4-BILAN PAR POSTE'!$A:$A,A80,'4-BILAN PAR POSTE'!$B:$B,B80)</f>
        <v>431</v>
      </c>
      <c r="E80" s="45" t="str">
        <f t="shared" si="1"/>
        <v>90%</v>
      </c>
      <c r="F80" s="45" t="str">
        <f>IF(D80=0,"",(SUMIFS('4-BILAN PAR POSTE'!$D:$D,'4-BILAN PAR POSTE'!$A:$A,A80,'4-BILAN PAR POSTE'!$B:$B,B80)+0.5*SUMIFS('4-BILAN PAR POSTE'!$E:$E,'4-BILAN PAR POSTE'!$A:$A,A80,'4-BILAN PAR POSTE'!$B:$B,B80))/D80)</f>
        <v>97%</v>
      </c>
      <c r="G80" s="45" t="str">
        <f>IF(D80=0,"",SUMIFS('4-BILAN PAR POSTE'!$D:$D,'4-BILAN PAR POSTE'!$A:$A,A80,'4-BILAN PAR POSTE'!$B:$B,B80)/D80)</f>
        <v>94%</v>
      </c>
      <c r="H80" s="46" t="str">
        <f t="shared" si="2"/>
        <v>82%</v>
      </c>
      <c r="I80" s="13" t="str">
        <f>SUMIFS('4-BILAN PAR POSTE'!$G:$G,'4-BILAN PAR POSTE'!$A:$A,A80,'4-BILAN PAR POSTE'!$B:$B,B80)</f>
        <v>36</v>
      </c>
      <c r="J80" s="13" t="str">
        <f>SUMIFS('4-BILAN PAR POSTE'!$F:$F,'4-BILAN PAR POSTE'!$A:$A,A80,'4-BILAN PAR POSTE'!$B:$B,B80)</f>
        <v>0</v>
      </c>
      <c r="K80" s="13" t="str">
        <f>SUMIFS('4-BILAN PAR POSTE'!$H:$H,'4-BILAN PAR POSTE'!$A:$A,A80,'4-BILAN PAR POSTE'!$B:$B,B80)</f>
        <v>7</v>
      </c>
    </row>
    <row r="81" ht="15.75" customHeight="1">
      <c r="A81" s="40">
        <v>46177.0</v>
      </c>
      <c r="B81" s="11" t="s">
        <v>106</v>
      </c>
      <c r="C81" s="18">
        <v>480.0</v>
      </c>
      <c r="D81" s="13" t="str">
        <f>SUMIFS('4-BILAN PAR POSTE'!$D:$D,'4-BILAN PAR POSTE'!$A:$A,A81,'4-BILAN PAR POSTE'!$B:$B,B81)+SUMIFS('4-BILAN PAR POSTE'!$E:$E,'4-BILAN PAR POSTE'!$A:$A,A81,'4-BILAN PAR POSTE'!$B:$B,B81)</f>
        <v>405</v>
      </c>
      <c r="E81" s="45" t="str">
        <f t="shared" si="1"/>
        <v>84%</v>
      </c>
      <c r="F81" s="45" t="str">
        <f>IF(D81=0,"",(SUMIFS('4-BILAN PAR POSTE'!$D:$D,'4-BILAN PAR POSTE'!$A:$A,A81,'4-BILAN PAR POSTE'!$B:$B,B81)+0.5*SUMIFS('4-BILAN PAR POSTE'!$E:$E,'4-BILAN PAR POSTE'!$A:$A,A81,'4-BILAN PAR POSTE'!$B:$B,B81))/D81)</f>
        <v>97%</v>
      </c>
      <c r="G81" s="45" t="str">
        <f>IF(D81=0,"",SUMIFS('4-BILAN PAR POSTE'!$D:$D,'4-BILAN PAR POSTE'!$A:$A,A81,'4-BILAN PAR POSTE'!$B:$B,B81)/D81)</f>
        <v>93%</v>
      </c>
      <c r="H81" s="46" t="str">
        <f t="shared" si="2"/>
        <v>76%</v>
      </c>
      <c r="I81" s="13" t="str">
        <f>SUMIFS('4-BILAN PAR POSTE'!$G:$G,'4-BILAN PAR POSTE'!$A:$A,A81,'4-BILAN PAR POSTE'!$B:$B,B81)</f>
        <v>15</v>
      </c>
      <c r="J81" s="13" t="str">
        <f>SUMIFS('4-BILAN PAR POSTE'!$F:$F,'4-BILAN PAR POSTE'!$A:$A,A81,'4-BILAN PAR POSTE'!$B:$B,B81)</f>
        <v>0</v>
      </c>
      <c r="K81" s="13" t="str">
        <f>SUMIFS('4-BILAN PAR POSTE'!$H:$H,'4-BILAN PAR POSTE'!$A:$A,A81,'4-BILAN PAR POSTE'!$B:$B,B81)</f>
        <v>0</v>
      </c>
    </row>
    <row r="82" ht="15.75" customHeight="1">
      <c r="A82" s="40">
        <v>46177.0</v>
      </c>
      <c r="B82" s="11" t="s">
        <v>104</v>
      </c>
      <c r="C82" s="18">
        <v>480.0</v>
      </c>
      <c r="D82" s="13" t="str">
        <f>SUMIFS('4-BILAN PAR POSTE'!$D:$D,'4-BILAN PAR POSTE'!$A:$A,A82,'4-BILAN PAR POSTE'!$B:$B,B82)+SUMIFS('4-BILAN PAR POSTE'!$E:$E,'4-BILAN PAR POSTE'!$A:$A,A82,'4-BILAN PAR POSTE'!$B:$B,B82)</f>
        <v>438</v>
      </c>
      <c r="E82" s="45" t="str">
        <f t="shared" si="1"/>
        <v>91%</v>
      </c>
      <c r="F82" s="45" t="str">
        <f>IF(D82=0,"",(SUMIFS('4-BILAN PAR POSTE'!$D:$D,'4-BILAN PAR POSTE'!$A:$A,A82,'4-BILAN PAR POSTE'!$B:$B,B82)+0.5*SUMIFS('4-BILAN PAR POSTE'!$E:$E,'4-BILAN PAR POSTE'!$A:$A,A82,'4-BILAN PAR POSTE'!$B:$B,B82))/D82)</f>
        <v>81%</v>
      </c>
      <c r="G82" s="45" t="str">
        <f>IF(D82=0,"",SUMIFS('4-BILAN PAR POSTE'!$D:$D,'4-BILAN PAR POSTE'!$A:$A,A82,'4-BILAN PAR POSTE'!$B:$B,B82)/D82)</f>
        <v>62%</v>
      </c>
      <c r="H82" s="46" t="str">
        <f t="shared" si="2"/>
        <v>45%</v>
      </c>
      <c r="I82" s="13" t="str">
        <f>SUMIFS('4-BILAN PAR POSTE'!$G:$G,'4-BILAN PAR POSTE'!$A:$A,A82,'4-BILAN PAR POSTE'!$B:$B,B82)</f>
        <v>42</v>
      </c>
      <c r="J82" s="13" t="str">
        <f>SUMIFS('4-BILAN PAR POSTE'!$F:$F,'4-BILAN PAR POSTE'!$A:$A,A82,'4-BILAN PAR POSTE'!$B:$B,B82)</f>
        <v>0</v>
      </c>
      <c r="K82" s="13" t="str">
        <f>SUMIFS('4-BILAN PAR POSTE'!$H:$H,'4-BILAN PAR POSTE'!$A:$A,A82,'4-BILAN PAR POSTE'!$B:$B,B82)</f>
        <v>0</v>
      </c>
    </row>
    <row r="83" ht="15.75" customHeight="1">
      <c r="A83" s="40">
        <v>46177.0</v>
      </c>
      <c r="B83" s="11" t="s">
        <v>105</v>
      </c>
      <c r="C83" s="18">
        <v>480.0</v>
      </c>
      <c r="D83" s="13" t="str">
        <f>SUMIFS('4-BILAN PAR POSTE'!$D:$D,'4-BILAN PAR POSTE'!$A:$A,A83,'4-BILAN PAR POSTE'!$B:$B,B83)+SUMIFS('4-BILAN PAR POSTE'!$E:$E,'4-BILAN PAR POSTE'!$A:$A,A83,'4-BILAN PAR POSTE'!$B:$B,B83)</f>
        <v>435</v>
      </c>
      <c r="E83" s="45" t="str">
        <f t="shared" si="1"/>
        <v>91%</v>
      </c>
      <c r="F83" s="45" t="str">
        <f>IF(D83=0,"",(SUMIFS('4-BILAN PAR POSTE'!$D:$D,'4-BILAN PAR POSTE'!$A:$A,A83,'4-BILAN PAR POSTE'!$B:$B,B83)+0.5*SUMIFS('4-BILAN PAR POSTE'!$E:$E,'4-BILAN PAR POSTE'!$A:$A,A83,'4-BILAN PAR POSTE'!$B:$B,B83))/D83)</f>
        <v>89%</v>
      </c>
      <c r="G83" s="45" t="str">
        <f>IF(D83=0,"",SUMIFS('4-BILAN PAR POSTE'!$D:$D,'4-BILAN PAR POSTE'!$A:$A,A83,'4-BILAN PAR POSTE'!$B:$B,B83)/D83)</f>
        <v>78%</v>
      </c>
      <c r="H83" s="46" t="str">
        <f t="shared" si="2"/>
        <v>63%</v>
      </c>
      <c r="I83" s="13" t="str">
        <f>SUMIFS('4-BILAN PAR POSTE'!$G:$G,'4-BILAN PAR POSTE'!$A:$A,A83,'4-BILAN PAR POSTE'!$B:$B,B83)</f>
        <v>23</v>
      </c>
      <c r="J83" s="13" t="str">
        <f>SUMIFS('4-BILAN PAR POSTE'!$F:$F,'4-BILAN PAR POSTE'!$A:$A,A83,'4-BILAN PAR POSTE'!$B:$B,B83)</f>
        <v>0</v>
      </c>
      <c r="K83" s="13" t="str">
        <f>SUMIFS('4-BILAN PAR POSTE'!$H:$H,'4-BILAN PAR POSTE'!$A:$A,A83,'4-BILAN PAR POSTE'!$B:$B,B83)</f>
        <v>0</v>
      </c>
    </row>
    <row r="84" ht="15.75" customHeight="1">
      <c r="A84" s="40">
        <v>46178.0</v>
      </c>
      <c r="B84" s="11" t="s">
        <v>106</v>
      </c>
      <c r="C84" s="18">
        <v>480.0</v>
      </c>
      <c r="D84" s="13" t="str">
        <f>SUMIFS('4-BILAN PAR POSTE'!$D:$D,'4-BILAN PAR POSTE'!$A:$A,A84,'4-BILAN PAR POSTE'!$B:$B,B84)+SUMIFS('4-BILAN PAR POSTE'!$E:$E,'4-BILAN PAR POSTE'!$A:$A,A84,'4-BILAN PAR POSTE'!$B:$B,B84)</f>
        <v>0</v>
      </c>
      <c r="E84" s="45" t="str">
        <f t="shared" si="1"/>
        <v>0%</v>
      </c>
      <c r="F84" s="45" t="str">
        <f>IF(D84=0,"",(SUMIFS('4-BILAN PAR POSTE'!$D:$D,'4-BILAN PAR POSTE'!$A:$A,A84,'4-BILAN PAR POSTE'!$B:$B,B84)+0.5*SUMIFS('4-BILAN PAR POSTE'!$E:$E,'4-BILAN PAR POSTE'!$A:$A,A84,'4-BILAN PAR POSTE'!$B:$B,B84))/D84)</f>
        <v/>
      </c>
      <c r="G84" s="45" t="str">
        <f>IF(D84=0,"",SUMIFS('4-BILAN PAR POSTE'!$D:$D,'4-BILAN PAR POSTE'!$A:$A,A84,'4-BILAN PAR POSTE'!$B:$B,B84)/D84)</f>
        <v/>
      </c>
      <c r="H84" s="46" t="str">
        <f t="shared" si="2"/>
        <v/>
      </c>
      <c r="I84" s="13" t="str">
        <f>SUMIFS('4-BILAN PAR POSTE'!$G:$G,'4-BILAN PAR POSTE'!$A:$A,A84,'4-BILAN PAR POSTE'!$B:$B,B84)</f>
        <v>0</v>
      </c>
      <c r="J84" s="13" t="str">
        <f>SUMIFS('4-BILAN PAR POSTE'!$F:$F,'4-BILAN PAR POSTE'!$A:$A,A84,'4-BILAN PAR POSTE'!$B:$B,B84)</f>
        <v>60</v>
      </c>
      <c r="K84" s="13" t="str">
        <f>SUMIFS('4-BILAN PAR POSTE'!$H:$H,'4-BILAN PAR POSTE'!$A:$A,A84,'4-BILAN PAR POSTE'!$B:$B,B84)</f>
        <v>0</v>
      </c>
    </row>
    <row r="85" ht="15.75" customHeight="1">
      <c r="A85" s="40">
        <v>46179.0</v>
      </c>
      <c r="B85" s="11" t="s">
        <v>104</v>
      </c>
      <c r="C85" s="18">
        <v>480.0</v>
      </c>
      <c r="D85" s="13" t="str">
        <f>SUMIFS('4-BILAN PAR POSTE'!$D:$D,'4-BILAN PAR POSTE'!$A:$A,A85,'4-BILAN PAR POSTE'!$B:$B,B85)+SUMIFS('4-BILAN PAR POSTE'!$E:$E,'4-BILAN PAR POSTE'!$A:$A,A85,'4-BILAN PAR POSTE'!$B:$B,B85)</f>
        <v>462</v>
      </c>
      <c r="E85" s="45" t="str">
        <f t="shared" si="1"/>
        <v>96%</v>
      </c>
      <c r="F85" s="45" t="str">
        <f>IF(D85=0,"",(SUMIFS('4-BILAN PAR POSTE'!$D:$D,'4-BILAN PAR POSTE'!$A:$A,A85,'4-BILAN PAR POSTE'!$B:$B,B85)+0.5*SUMIFS('4-BILAN PAR POSTE'!$E:$E,'4-BILAN PAR POSTE'!$A:$A,A85,'4-BILAN PAR POSTE'!$B:$B,B85))/D85)</f>
        <v>100%</v>
      </c>
      <c r="G85" s="45" t="str">
        <f>IF(D85=0,"",SUMIFS('4-BILAN PAR POSTE'!$D:$D,'4-BILAN PAR POSTE'!$A:$A,A85,'4-BILAN PAR POSTE'!$B:$B,B85)/D85)</f>
        <v>100%</v>
      </c>
      <c r="H85" s="46" t="str">
        <f t="shared" si="2"/>
        <v>96%</v>
      </c>
      <c r="I85" s="13" t="str">
        <f>SUMIFS('4-BILAN PAR POSTE'!$G:$G,'4-BILAN PAR POSTE'!$A:$A,A85,'4-BILAN PAR POSTE'!$B:$B,B85)</f>
        <v>18</v>
      </c>
      <c r="J85" s="13" t="str">
        <f>SUMIFS('4-BILAN PAR POSTE'!$F:$F,'4-BILAN PAR POSTE'!$A:$A,A85,'4-BILAN PAR POSTE'!$B:$B,B85)</f>
        <v>10</v>
      </c>
      <c r="K85" s="13" t="str">
        <f>SUMIFS('4-BILAN PAR POSTE'!$H:$H,'4-BILAN PAR POSTE'!$A:$A,A85,'4-BILAN PAR POSTE'!$B:$B,B85)</f>
        <v>480</v>
      </c>
    </row>
    <row r="86" ht="15.75" customHeight="1">
      <c r="A86" s="40">
        <v>46179.0</v>
      </c>
      <c r="B86" s="11" t="s">
        <v>105</v>
      </c>
      <c r="C86" s="18">
        <v>480.0</v>
      </c>
      <c r="D86" s="13" t="str">
        <f>SUMIFS('4-BILAN PAR POSTE'!$D:$D,'4-BILAN PAR POSTE'!$A:$A,A86,'4-BILAN PAR POSTE'!$B:$B,B86)+SUMIFS('4-BILAN PAR POSTE'!$E:$E,'4-BILAN PAR POSTE'!$A:$A,A86,'4-BILAN PAR POSTE'!$B:$B,B86)</f>
        <v>411</v>
      </c>
      <c r="E86" s="45" t="str">
        <f t="shared" si="1"/>
        <v>86%</v>
      </c>
      <c r="F86" s="45" t="str">
        <f>IF(D86=0,"",(SUMIFS('4-BILAN PAR POSTE'!$D:$D,'4-BILAN PAR POSTE'!$A:$A,A86,'4-BILAN PAR POSTE'!$B:$B,B86)+0.5*SUMIFS('4-BILAN PAR POSTE'!$E:$E,'4-BILAN PAR POSTE'!$A:$A,A86,'4-BILAN PAR POSTE'!$B:$B,B86))/D86)</f>
        <v>93%</v>
      </c>
      <c r="G86" s="45" t="str">
        <f>IF(D86=0,"",SUMIFS('4-BILAN PAR POSTE'!$D:$D,'4-BILAN PAR POSTE'!$A:$A,A86,'4-BILAN PAR POSTE'!$B:$B,B86)/D86)</f>
        <v>86%</v>
      </c>
      <c r="H86" s="46" t="str">
        <f t="shared" si="2"/>
        <v>68%</v>
      </c>
      <c r="I86" s="13" t="str">
        <f>SUMIFS('4-BILAN PAR POSTE'!$G:$G,'4-BILAN PAR POSTE'!$A:$A,A86,'4-BILAN PAR POSTE'!$B:$B,B86)</f>
        <v>52</v>
      </c>
      <c r="J86" s="13" t="str">
        <f>SUMIFS('4-BILAN PAR POSTE'!$F:$F,'4-BILAN PAR POSTE'!$A:$A,A86,'4-BILAN PAR POSTE'!$B:$B,B86)</f>
        <v>0</v>
      </c>
      <c r="K86" s="13" t="str">
        <f>SUMIFS('4-BILAN PAR POSTE'!$H:$H,'4-BILAN PAR POSTE'!$A:$A,A86,'4-BILAN PAR POSTE'!$B:$B,B86)</f>
        <v>18</v>
      </c>
    </row>
    <row r="87" ht="15.75" customHeight="1">
      <c r="A87" s="40">
        <v>46180.0</v>
      </c>
      <c r="B87" s="11" t="s">
        <v>106</v>
      </c>
      <c r="C87" s="18">
        <v>480.0</v>
      </c>
      <c r="D87" s="13" t="str">
        <f>SUMIFS('4-BILAN PAR POSTE'!$D:$D,'4-BILAN PAR POSTE'!$A:$A,A87,'4-BILAN PAR POSTE'!$B:$B,B87)+SUMIFS('4-BILAN PAR POSTE'!$E:$E,'4-BILAN PAR POSTE'!$A:$A,A87,'4-BILAN PAR POSTE'!$B:$B,B87)</f>
        <v>40</v>
      </c>
      <c r="E87" s="45" t="str">
        <f t="shared" si="1"/>
        <v>8%</v>
      </c>
      <c r="F87" s="45" t="str">
        <f>IF(D87=0,"",(SUMIFS('4-BILAN PAR POSTE'!$D:$D,'4-BILAN PAR POSTE'!$A:$A,A87,'4-BILAN PAR POSTE'!$B:$B,B87)+0.5*SUMIFS('4-BILAN PAR POSTE'!$E:$E,'4-BILAN PAR POSTE'!$A:$A,A87,'4-BILAN PAR POSTE'!$B:$B,B87))/D87)</f>
        <v>100%</v>
      </c>
      <c r="G87" s="45" t="str">
        <f>IF(D87=0,"",SUMIFS('4-BILAN PAR POSTE'!$D:$D,'4-BILAN PAR POSTE'!$A:$A,A87,'4-BILAN PAR POSTE'!$B:$B,B87)/D87)</f>
        <v>100%</v>
      </c>
      <c r="H87" s="46" t="str">
        <f t="shared" si="2"/>
        <v>8%</v>
      </c>
      <c r="I87" s="13" t="str">
        <f>SUMIFS('4-BILAN PAR POSTE'!$G:$G,'4-BILAN PAR POSTE'!$A:$A,A87,'4-BILAN PAR POSTE'!$B:$B,B87)</f>
        <v>29</v>
      </c>
      <c r="J87" s="13" t="str">
        <f>SUMIFS('4-BILAN PAR POSTE'!$F:$F,'4-BILAN PAR POSTE'!$A:$A,A87,'4-BILAN PAR POSTE'!$B:$B,B87)</f>
        <v>236</v>
      </c>
      <c r="K87" s="13" t="str">
        <f>SUMIFS('4-BILAN PAR POSTE'!$H:$H,'4-BILAN PAR POSTE'!$A:$A,A87,'4-BILAN PAR POSTE'!$B:$B,B87)</f>
        <v>0</v>
      </c>
    </row>
    <row r="88" ht="15.75" customHeight="1">
      <c r="A88" s="40">
        <v>46180.0</v>
      </c>
      <c r="B88" s="11" t="s">
        <v>104</v>
      </c>
      <c r="C88" s="18">
        <v>480.0</v>
      </c>
      <c r="D88" s="13" t="str">
        <f>SUMIFS('4-BILAN PAR POSTE'!$D:$D,'4-BILAN PAR POSTE'!$A:$A,A88,'4-BILAN PAR POSTE'!$B:$B,B88)+SUMIFS('4-BILAN PAR POSTE'!$E:$E,'4-BILAN PAR POSTE'!$A:$A,A88,'4-BILAN PAR POSTE'!$B:$B,B88)</f>
        <v>437</v>
      </c>
      <c r="E88" s="45" t="str">
        <f t="shared" si="1"/>
        <v>91%</v>
      </c>
      <c r="F88" s="45" t="str">
        <f>IF(D88=0,"",(SUMIFS('4-BILAN PAR POSTE'!$D:$D,'4-BILAN PAR POSTE'!$A:$A,A88,'4-BILAN PAR POSTE'!$B:$B,B88)+0.5*SUMIFS('4-BILAN PAR POSTE'!$E:$E,'4-BILAN PAR POSTE'!$A:$A,A88,'4-BILAN PAR POSTE'!$B:$B,B88))/D88)</f>
        <v>95%</v>
      </c>
      <c r="G88" s="45" t="str">
        <f>IF(D88=0,"",SUMIFS('4-BILAN PAR POSTE'!$D:$D,'4-BILAN PAR POSTE'!$A:$A,A88,'4-BILAN PAR POSTE'!$B:$B,B88)/D88)</f>
        <v>91%</v>
      </c>
      <c r="H88" s="46" t="str">
        <f t="shared" si="2"/>
        <v>79%</v>
      </c>
      <c r="I88" s="13" t="str">
        <f>SUMIFS('4-BILAN PAR POSTE'!$G:$G,'4-BILAN PAR POSTE'!$A:$A,A88,'4-BILAN PAR POSTE'!$B:$B,B88)</f>
        <v>43</v>
      </c>
      <c r="J88" s="13" t="str">
        <f>SUMIFS('4-BILAN PAR POSTE'!$F:$F,'4-BILAN PAR POSTE'!$A:$A,A88,'4-BILAN PAR POSTE'!$B:$B,B88)</f>
        <v>0</v>
      </c>
      <c r="K88" s="13" t="str">
        <f>SUMIFS('4-BILAN PAR POSTE'!$H:$H,'4-BILAN PAR POSTE'!$A:$A,A88,'4-BILAN PAR POSTE'!$B:$B,B88)</f>
        <v>0</v>
      </c>
    </row>
    <row r="89" ht="15.75" customHeight="1">
      <c r="A89" s="40">
        <v>46180.0</v>
      </c>
      <c r="B89" s="11" t="s">
        <v>105</v>
      </c>
      <c r="C89" s="18">
        <v>480.0</v>
      </c>
      <c r="D89" s="13" t="str">
        <f>SUMIFS('4-BILAN PAR POSTE'!$D:$D,'4-BILAN PAR POSTE'!$A:$A,A89,'4-BILAN PAR POSTE'!$B:$B,B89)+SUMIFS('4-BILAN PAR POSTE'!$E:$E,'4-BILAN PAR POSTE'!$A:$A,A89,'4-BILAN PAR POSTE'!$B:$B,B89)</f>
        <v>447</v>
      </c>
      <c r="E89" s="45" t="str">
        <f t="shared" si="1"/>
        <v>93%</v>
      </c>
      <c r="F89" s="45" t="str">
        <f>IF(D89=0,"",(SUMIFS('4-BILAN PAR POSTE'!$D:$D,'4-BILAN PAR POSTE'!$A:$A,A89,'4-BILAN PAR POSTE'!$B:$B,B89)+0.5*SUMIFS('4-BILAN PAR POSTE'!$E:$E,'4-BILAN PAR POSTE'!$A:$A,A89,'4-BILAN PAR POSTE'!$B:$B,B89))/D89)</f>
        <v>92%</v>
      </c>
      <c r="G89" s="45" t="str">
        <f>IF(D89=0,"",SUMIFS('4-BILAN PAR POSTE'!$D:$D,'4-BILAN PAR POSTE'!$A:$A,A89,'4-BILAN PAR POSTE'!$B:$B,B89)/D89)</f>
        <v>83%</v>
      </c>
      <c r="H89" s="46" t="str">
        <f t="shared" si="2"/>
        <v>71%</v>
      </c>
      <c r="I89" s="13" t="str">
        <f>SUMIFS('4-BILAN PAR POSTE'!$G:$G,'4-BILAN PAR POSTE'!$A:$A,A89,'4-BILAN PAR POSTE'!$B:$B,B89)</f>
        <v>25</v>
      </c>
      <c r="J89" s="13" t="str">
        <f>SUMIFS('4-BILAN PAR POSTE'!$F:$F,'4-BILAN PAR POSTE'!$A:$A,A89,'4-BILAN PAR POSTE'!$B:$B,B89)</f>
        <v>0</v>
      </c>
      <c r="K89" s="13" t="str">
        <f>SUMIFS('4-BILAN PAR POSTE'!$H:$H,'4-BILAN PAR POSTE'!$A:$A,A89,'4-BILAN PAR POSTE'!$B:$B,B89)</f>
        <v>0</v>
      </c>
    </row>
    <row r="90" ht="15.75" customHeight="1">
      <c r="A90" s="40">
        <v>46181.0</v>
      </c>
      <c r="B90" s="11" t="s">
        <v>106</v>
      </c>
      <c r="C90" s="18">
        <v>480.0</v>
      </c>
      <c r="D90" s="13" t="str">
        <f>SUMIFS('4-BILAN PAR POSTE'!$D:$D,'4-BILAN PAR POSTE'!$A:$A,A90,'4-BILAN PAR POSTE'!$B:$B,B90)+SUMIFS('4-BILAN PAR POSTE'!$E:$E,'4-BILAN PAR POSTE'!$A:$A,A90,'4-BILAN PAR POSTE'!$B:$B,B90)</f>
        <v>261</v>
      </c>
      <c r="E90" s="45" t="str">
        <f t="shared" si="1"/>
        <v>54%</v>
      </c>
      <c r="F90" s="45" t="str">
        <f>IF(D90=0,"",(SUMIFS('4-BILAN PAR POSTE'!$D:$D,'4-BILAN PAR POSTE'!$A:$A,A90,'4-BILAN PAR POSTE'!$B:$B,B90)+0.5*SUMIFS('4-BILAN PAR POSTE'!$E:$E,'4-BILAN PAR POSTE'!$A:$A,A90,'4-BILAN PAR POSTE'!$B:$B,B90))/D90)</f>
        <v>100%</v>
      </c>
      <c r="G90" s="45" t="str">
        <f>IF(D90=0,"",SUMIFS('4-BILAN PAR POSTE'!$D:$D,'4-BILAN PAR POSTE'!$A:$A,A90,'4-BILAN PAR POSTE'!$B:$B,B90)/D90)</f>
        <v>100%</v>
      </c>
      <c r="H90" s="46" t="str">
        <f t="shared" si="2"/>
        <v>54%</v>
      </c>
      <c r="I90" s="13" t="str">
        <f>SUMIFS('4-BILAN PAR POSTE'!$G:$G,'4-BILAN PAR POSTE'!$A:$A,A90,'4-BILAN PAR POSTE'!$B:$B,B90)</f>
        <v>59</v>
      </c>
      <c r="J90" s="13" t="str">
        <f>SUMIFS('4-BILAN PAR POSTE'!$F:$F,'4-BILAN PAR POSTE'!$A:$A,A90,'4-BILAN PAR POSTE'!$B:$B,B90)</f>
        <v>62</v>
      </c>
      <c r="K90" s="13" t="str">
        <f>SUMIFS('4-BILAN PAR POSTE'!$H:$H,'4-BILAN PAR POSTE'!$A:$A,A90,'4-BILAN PAR POSTE'!$B:$B,B90)</f>
        <v>10</v>
      </c>
    </row>
    <row r="91" ht="15.75" customHeight="1">
      <c r="A91" s="40">
        <v>46181.0</v>
      </c>
      <c r="B91" s="11" t="s">
        <v>104</v>
      </c>
      <c r="C91" s="18">
        <v>480.0</v>
      </c>
      <c r="D91" s="13" t="str">
        <f>SUMIFS('4-BILAN PAR POSTE'!$D:$D,'4-BILAN PAR POSTE'!$A:$A,A91,'4-BILAN PAR POSTE'!$B:$B,B91)+SUMIFS('4-BILAN PAR POSTE'!$E:$E,'4-BILAN PAR POSTE'!$A:$A,A91,'4-BILAN PAR POSTE'!$B:$B,B91)</f>
        <v>445</v>
      </c>
      <c r="E91" s="45" t="str">
        <f t="shared" si="1"/>
        <v>93%</v>
      </c>
      <c r="F91" s="45" t="str">
        <f>IF(D91=0,"",(SUMIFS('4-BILAN PAR POSTE'!$D:$D,'4-BILAN PAR POSTE'!$A:$A,A91,'4-BILAN PAR POSTE'!$B:$B,B91)+0.5*SUMIFS('4-BILAN PAR POSTE'!$E:$E,'4-BILAN PAR POSTE'!$A:$A,A91,'4-BILAN PAR POSTE'!$B:$B,B91))/D91)</f>
        <v>84%</v>
      </c>
      <c r="G91" s="45" t="str">
        <f>IF(D91=0,"",SUMIFS('4-BILAN PAR POSTE'!$D:$D,'4-BILAN PAR POSTE'!$A:$A,A91,'4-BILAN PAR POSTE'!$B:$B,B91)/D91)</f>
        <v>69%</v>
      </c>
      <c r="H91" s="46" t="str">
        <f t="shared" si="2"/>
        <v>54%</v>
      </c>
      <c r="I91" s="13" t="str">
        <f>SUMIFS('4-BILAN PAR POSTE'!$G:$G,'4-BILAN PAR POSTE'!$A:$A,A91,'4-BILAN PAR POSTE'!$B:$B,B91)</f>
        <v>31</v>
      </c>
      <c r="J91" s="13" t="str">
        <f>SUMIFS('4-BILAN PAR POSTE'!$F:$F,'4-BILAN PAR POSTE'!$A:$A,A91,'4-BILAN PAR POSTE'!$B:$B,B91)</f>
        <v>0</v>
      </c>
      <c r="K91" s="13" t="str">
        <f>SUMIFS('4-BILAN PAR POSTE'!$H:$H,'4-BILAN PAR POSTE'!$A:$A,A91,'4-BILAN PAR POSTE'!$B:$B,B91)</f>
        <v>16</v>
      </c>
    </row>
    <row r="92" ht="15.75" customHeight="1">
      <c r="A92" s="40">
        <v>46181.0</v>
      </c>
      <c r="B92" s="11" t="s">
        <v>105</v>
      </c>
      <c r="C92" s="18">
        <v>480.0</v>
      </c>
      <c r="D92" s="13" t="str">
        <f>SUMIFS('4-BILAN PAR POSTE'!$D:$D,'4-BILAN PAR POSTE'!$A:$A,A92,'4-BILAN PAR POSTE'!$B:$B,B92)+SUMIFS('4-BILAN PAR POSTE'!$E:$E,'4-BILAN PAR POSTE'!$A:$A,A92,'4-BILAN PAR POSTE'!$B:$B,B92)</f>
        <v>390</v>
      </c>
      <c r="E92" s="45" t="str">
        <f t="shared" si="1"/>
        <v>81%</v>
      </c>
      <c r="F92" s="45" t="str">
        <f>IF(D92=0,"",(SUMIFS('4-BILAN PAR POSTE'!$D:$D,'4-BILAN PAR POSTE'!$A:$A,A92,'4-BILAN PAR POSTE'!$B:$B,B92)+0.5*SUMIFS('4-BILAN PAR POSTE'!$E:$E,'4-BILAN PAR POSTE'!$A:$A,A92,'4-BILAN PAR POSTE'!$B:$B,B92))/D92)</f>
        <v>91%</v>
      </c>
      <c r="G92" s="45" t="str">
        <f>IF(D92=0,"",SUMIFS('4-BILAN PAR POSTE'!$D:$D,'4-BILAN PAR POSTE'!$A:$A,A92,'4-BILAN PAR POSTE'!$B:$B,B92)/D92)</f>
        <v>82%</v>
      </c>
      <c r="H92" s="46" t="str">
        <f t="shared" si="2"/>
        <v>60%</v>
      </c>
      <c r="I92" s="13" t="str">
        <f>SUMIFS('4-BILAN PAR POSTE'!$G:$G,'4-BILAN PAR POSTE'!$A:$A,A92,'4-BILAN PAR POSTE'!$B:$B,B92)</f>
        <v>64</v>
      </c>
      <c r="J92" s="13" t="str">
        <f>SUMIFS('4-BILAN PAR POSTE'!$F:$F,'4-BILAN PAR POSTE'!$A:$A,A92,'4-BILAN PAR POSTE'!$B:$B,B92)</f>
        <v>0</v>
      </c>
      <c r="K92" s="13" t="str">
        <f>SUMIFS('4-BILAN PAR POSTE'!$H:$H,'4-BILAN PAR POSTE'!$A:$A,A92,'4-BILAN PAR POSTE'!$B:$B,B92)</f>
        <v>0</v>
      </c>
    </row>
    <row r="93" ht="15.75" customHeight="1">
      <c r="A93" s="40">
        <v>46182.0</v>
      </c>
      <c r="B93" s="11" t="s">
        <v>106</v>
      </c>
      <c r="C93" s="18">
        <v>480.0</v>
      </c>
      <c r="D93" s="13" t="str">
        <f>SUMIFS('4-BILAN PAR POSTE'!$D:$D,'4-BILAN PAR POSTE'!$A:$A,A93,'4-BILAN PAR POSTE'!$B:$B,B93)+SUMIFS('4-BILAN PAR POSTE'!$E:$E,'4-BILAN PAR POSTE'!$A:$A,A93,'4-BILAN PAR POSTE'!$B:$B,B93)</f>
        <v>209</v>
      </c>
      <c r="E93" s="45" t="str">
        <f t="shared" si="1"/>
        <v>44%</v>
      </c>
      <c r="F93" s="45" t="str">
        <f>IF(D93=0,"",(SUMIFS('4-BILAN PAR POSTE'!$D:$D,'4-BILAN PAR POSTE'!$A:$A,A93,'4-BILAN PAR POSTE'!$B:$B,B93)+0.5*SUMIFS('4-BILAN PAR POSTE'!$E:$E,'4-BILAN PAR POSTE'!$A:$A,A93,'4-BILAN PAR POSTE'!$B:$B,B93))/D93)</f>
        <v>94%</v>
      </c>
      <c r="G93" s="45" t="str">
        <f>IF(D93=0,"",SUMIFS('4-BILAN PAR POSTE'!$D:$D,'4-BILAN PAR POSTE'!$A:$A,A93,'4-BILAN PAR POSTE'!$B:$B,B93)/D93)</f>
        <v>89%</v>
      </c>
      <c r="H93" s="46" t="str">
        <f t="shared" si="2"/>
        <v>37%</v>
      </c>
      <c r="I93" s="13" t="str">
        <f>SUMIFS('4-BILAN PAR POSTE'!$G:$G,'4-BILAN PAR POSTE'!$A:$A,A93,'4-BILAN PAR POSTE'!$B:$B,B93)</f>
        <v>43</v>
      </c>
      <c r="J93" s="13" t="str">
        <f>SUMIFS('4-BILAN PAR POSTE'!$F:$F,'4-BILAN PAR POSTE'!$A:$A,A93,'4-BILAN PAR POSTE'!$B:$B,B93)</f>
        <v>138</v>
      </c>
      <c r="K93" s="13" t="str">
        <f>SUMIFS('4-BILAN PAR POSTE'!$H:$H,'4-BILAN PAR POSTE'!$A:$A,A93,'4-BILAN PAR POSTE'!$B:$B,B93)</f>
        <v>10</v>
      </c>
    </row>
    <row r="94" ht="15.75" customHeight="1">
      <c r="A94" s="40">
        <v>46182.0</v>
      </c>
      <c r="B94" s="11" t="s">
        <v>104</v>
      </c>
      <c r="C94" s="18">
        <v>480.0</v>
      </c>
      <c r="D94" s="13" t="str">
        <f>SUMIFS('4-BILAN PAR POSTE'!$D:$D,'4-BILAN PAR POSTE'!$A:$A,A94,'4-BILAN PAR POSTE'!$B:$B,B94)+SUMIFS('4-BILAN PAR POSTE'!$E:$E,'4-BILAN PAR POSTE'!$A:$A,A94,'4-BILAN PAR POSTE'!$B:$B,B94)</f>
        <v>300</v>
      </c>
      <c r="E94" s="45" t="str">
        <f t="shared" si="1"/>
        <v>63%</v>
      </c>
      <c r="F94" s="45" t="str">
        <f>IF(D94=0,"",(SUMIFS('4-BILAN PAR POSTE'!$D:$D,'4-BILAN PAR POSTE'!$A:$A,A94,'4-BILAN PAR POSTE'!$B:$B,B94)+0.5*SUMIFS('4-BILAN PAR POSTE'!$E:$E,'4-BILAN PAR POSTE'!$A:$A,A94,'4-BILAN PAR POSTE'!$B:$B,B94))/D94)</f>
        <v>62%</v>
      </c>
      <c r="G94" s="45" t="str">
        <f>IF(D94=0,"",SUMIFS('4-BILAN PAR POSTE'!$D:$D,'4-BILAN PAR POSTE'!$A:$A,A94,'4-BILAN PAR POSTE'!$B:$B,B94)/D94)</f>
        <v>25%</v>
      </c>
      <c r="H94" s="46" t="str">
        <f t="shared" si="2"/>
        <v>10%</v>
      </c>
      <c r="I94" s="13" t="str">
        <f>SUMIFS('4-BILAN PAR POSTE'!$G:$G,'4-BILAN PAR POSTE'!$A:$A,A94,'4-BILAN PAR POSTE'!$B:$B,B94)</f>
        <v>110</v>
      </c>
      <c r="J94" s="13" t="str">
        <f>SUMIFS('4-BILAN PAR POSTE'!$F:$F,'4-BILAN PAR POSTE'!$A:$A,A94,'4-BILAN PAR POSTE'!$B:$B,B94)</f>
        <v>0</v>
      </c>
      <c r="K94" s="13" t="str">
        <f>SUMIFS('4-BILAN PAR POSTE'!$H:$H,'4-BILAN PAR POSTE'!$A:$A,A94,'4-BILAN PAR POSTE'!$B:$B,B94)</f>
        <v>6</v>
      </c>
    </row>
    <row r="95" ht="15.75" customHeight="1">
      <c r="A95" s="40">
        <v>46182.0</v>
      </c>
      <c r="B95" s="11" t="s">
        <v>105</v>
      </c>
      <c r="C95" s="18">
        <v>480.0</v>
      </c>
      <c r="D95" s="13" t="str">
        <f>SUMIFS('4-BILAN PAR POSTE'!$D:$D,'4-BILAN PAR POSTE'!$A:$A,A95,'4-BILAN PAR POSTE'!$B:$B,B95)+SUMIFS('4-BILAN PAR POSTE'!$E:$E,'4-BILAN PAR POSTE'!$A:$A,A95,'4-BILAN PAR POSTE'!$B:$B,B95)</f>
        <v>437</v>
      </c>
      <c r="E95" s="45" t="str">
        <f t="shared" si="1"/>
        <v>91%</v>
      </c>
      <c r="F95" s="45" t="str">
        <f>IF(D95=0,"",(SUMIFS('4-BILAN PAR POSTE'!$D:$D,'4-BILAN PAR POSTE'!$A:$A,A95,'4-BILAN PAR POSTE'!$B:$B,B95)+0.5*SUMIFS('4-BILAN PAR POSTE'!$E:$E,'4-BILAN PAR POSTE'!$A:$A,A95,'4-BILAN PAR POSTE'!$B:$B,B95))/D95)</f>
        <v>73%</v>
      </c>
      <c r="G95" s="45" t="str">
        <f>IF(D95=0,"",SUMIFS('4-BILAN PAR POSTE'!$D:$D,'4-BILAN PAR POSTE'!$A:$A,A95,'4-BILAN PAR POSTE'!$B:$B,B95)/D95)</f>
        <v>46%</v>
      </c>
      <c r="H95" s="46" t="str">
        <f t="shared" si="2"/>
        <v>31%</v>
      </c>
      <c r="I95" s="13" t="str">
        <f>SUMIFS('4-BILAN PAR POSTE'!$G:$G,'4-BILAN PAR POSTE'!$A:$A,A95,'4-BILAN PAR POSTE'!$B:$B,B95)</f>
        <v>16</v>
      </c>
      <c r="J95" s="13" t="str">
        <f>SUMIFS('4-BILAN PAR POSTE'!$F:$F,'4-BILAN PAR POSTE'!$A:$A,A95,'4-BILAN PAR POSTE'!$B:$B,B95)</f>
        <v>0</v>
      </c>
      <c r="K95" s="13" t="str">
        <f>SUMIFS('4-BILAN PAR POSTE'!$H:$H,'4-BILAN PAR POSTE'!$A:$A,A95,'4-BILAN PAR POSTE'!$B:$B,B95)</f>
        <v>30</v>
      </c>
    </row>
    <row r="96" ht="15.75" customHeight="1">
      <c r="A96" s="40">
        <v>46183.0</v>
      </c>
      <c r="B96" s="11" t="s">
        <v>106</v>
      </c>
      <c r="C96" s="18">
        <v>480.0</v>
      </c>
      <c r="D96" s="13" t="str">
        <f>SUMIFS('4-BILAN PAR POSTE'!$D:$D,'4-BILAN PAR POSTE'!$A:$A,A96,'4-BILAN PAR POSTE'!$B:$B,B96)+SUMIFS('4-BILAN PAR POSTE'!$E:$E,'4-BILAN PAR POSTE'!$A:$A,A96,'4-BILAN PAR POSTE'!$B:$B,B96)</f>
        <v>240</v>
      </c>
      <c r="E96" s="45" t="str">
        <f t="shared" si="1"/>
        <v>50%</v>
      </c>
      <c r="F96" s="45" t="str">
        <f>IF(D96=0,"",(SUMIFS('4-BILAN PAR POSTE'!$D:$D,'4-BILAN PAR POSTE'!$A:$A,A96,'4-BILAN PAR POSTE'!$B:$B,B96)+0.5*SUMIFS('4-BILAN PAR POSTE'!$E:$E,'4-BILAN PAR POSTE'!$A:$A,A96,'4-BILAN PAR POSTE'!$B:$B,B96))/D96)</f>
        <v>100%</v>
      </c>
      <c r="G96" s="45" t="str">
        <f>IF(D96=0,"",SUMIFS('4-BILAN PAR POSTE'!$D:$D,'4-BILAN PAR POSTE'!$A:$A,A96,'4-BILAN PAR POSTE'!$B:$B,B96)/D96)</f>
        <v>100%</v>
      </c>
      <c r="H96" s="46" t="str">
        <f t="shared" si="2"/>
        <v>50%</v>
      </c>
      <c r="I96" s="13" t="str">
        <f>SUMIFS('4-BILAN PAR POSTE'!$G:$G,'4-BILAN PAR POSTE'!$A:$A,A96,'4-BILAN PAR POSTE'!$B:$B,B96)</f>
        <v>13</v>
      </c>
      <c r="J96" s="13" t="str">
        <f>SUMIFS('4-BILAN PAR POSTE'!$F:$F,'4-BILAN PAR POSTE'!$A:$A,A96,'4-BILAN PAR POSTE'!$B:$B,B96)</f>
        <v>267</v>
      </c>
      <c r="K96" s="13" t="str">
        <f>SUMIFS('4-BILAN PAR POSTE'!$H:$H,'4-BILAN PAR POSTE'!$A:$A,A96,'4-BILAN PAR POSTE'!$B:$B,B96)</f>
        <v>0</v>
      </c>
    </row>
    <row r="97" ht="15.75" customHeight="1">
      <c r="A97" s="40">
        <v>46183.0</v>
      </c>
      <c r="B97" s="11" t="s">
        <v>104</v>
      </c>
      <c r="C97" s="18">
        <v>480.0</v>
      </c>
      <c r="D97" s="13" t="str">
        <f>SUMIFS('4-BILAN PAR POSTE'!$D:$D,'4-BILAN PAR POSTE'!$A:$A,A97,'4-BILAN PAR POSTE'!$B:$B,B97)+SUMIFS('4-BILAN PAR POSTE'!$E:$E,'4-BILAN PAR POSTE'!$A:$A,A97,'4-BILAN PAR POSTE'!$B:$B,B97)</f>
        <v>427</v>
      </c>
      <c r="E97" s="45" t="str">
        <f t="shared" si="1"/>
        <v>89%</v>
      </c>
      <c r="F97" s="45" t="str">
        <f>IF(D97=0,"",(SUMIFS('4-BILAN PAR POSTE'!$D:$D,'4-BILAN PAR POSTE'!$A:$A,A97,'4-BILAN PAR POSTE'!$B:$B,B97)+0.5*SUMIFS('4-BILAN PAR POSTE'!$E:$E,'4-BILAN PAR POSTE'!$A:$A,A97,'4-BILAN PAR POSTE'!$B:$B,B97))/D97)</f>
        <v>97%</v>
      </c>
      <c r="G97" s="45" t="str">
        <f>IF(D97=0,"",SUMIFS('4-BILAN PAR POSTE'!$D:$D,'4-BILAN PAR POSTE'!$A:$A,A97,'4-BILAN PAR POSTE'!$B:$B,B97)/D97)</f>
        <v>94%</v>
      </c>
      <c r="H97" s="46" t="str">
        <f t="shared" si="2"/>
        <v>81%</v>
      </c>
      <c r="I97" s="13" t="str">
        <f>SUMIFS('4-BILAN PAR POSTE'!$G:$G,'4-BILAN PAR POSTE'!$A:$A,A97,'4-BILAN PAR POSTE'!$B:$B,B97)</f>
        <v>53</v>
      </c>
      <c r="J97" s="13" t="str">
        <f>SUMIFS('4-BILAN PAR POSTE'!$F:$F,'4-BILAN PAR POSTE'!$A:$A,A97,'4-BILAN PAR POSTE'!$B:$B,B97)</f>
        <v>0</v>
      </c>
      <c r="K97" s="13" t="str">
        <f>SUMIFS('4-BILAN PAR POSTE'!$H:$H,'4-BILAN PAR POSTE'!$A:$A,A97,'4-BILAN PAR POSTE'!$B:$B,B97)</f>
        <v>9</v>
      </c>
    </row>
    <row r="98" ht="15.75" customHeight="1">
      <c r="A98" s="40">
        <v>46183.0</v>
      </c>
      <c r="B98" s="11" t="s">
        <v>105</v>
      </c>
      <c r="C98" s="18">
        <v>480.0</v>
      </c>
      <c r="D98" s="13" t="str">
        <f>SUMIFS('4-BILAN PAR POSTE'!$D:$D,'4-BILAN PAR POSTE'!$A:$A,A98,'4-BILAN PAR POSTE'!$B:$B,B98)+SUMIFS('4-BILAN PAR POSTE'!$E:$E,'4-BILAN PAR POSTE'!$A:$A,A98,'4-BILAN PAR POSTE'!$B:$B,B98)</f>
        <v>428</v>
      </c>
      <c r="E98" s="45" t="str">
        <f t="shared" si="1"/>
        <v>89%</v>
      </c>
      <c r="F98" s="45" t="str">
        <f>IF(D98=0,"",(SUMIFS('4-BILAN PAR POSTE'!$D:$D,'4-BILAN PAR POSTE'!$A:$A,A98,'4-BILAN PAR POSTE'!$B:$B,B98)+0.5*SUMIFS('4-BILAN PAR POSTE'!$E:$E,'4-BILAN PAR POSTE'!$A:$A,A98,'4-BILAN PAR POSTE'!$B:$B,B98))/D98)</f>
        <v>88%</v>
      </c>
      <c r="G98" s="45" t="str">
        <f>IF(D98=0,"",SUMIFS('4-BILAN PAR POSTE'!$D:$D,'4-BILAN PAR POSTE'!$A:$A,A98,'4-BILAN PAR POSTE'!$B:$B,B98)/D98)</f>
        <v>75%</v>
      </c>
      <c r="H98" s="46" t="str">
        <f t="shared" si="2"/>
        <v>59%</v>
      </c>
      <c r="I98" s="13" t="str">
        <f>SUMIFS('4-BILAN PAR POSTE'!$G:$G,'4-BILAN PAR POSTE'!$A:$A,A98,'4-BILAN PAR POSTE'!$B:$B,B98)</f>
        <v>16</v>
      </c>
      <c r="J98" s="13" t="str">
        <f>SUMIFS('4-BILAN PAR POSTE'!$F:$F,'4-BILAN PAR POSTE'!$A:$A,A98,'4-BILAN PAR POSTE'!$B:$B,B98)</f>
        <v>31</v>
      </c>
      <c r="K98" s="13" t="str">
        <f>SUMIFS('4-BILAN PAR POSTE'!$H:$H,'4-BILAN PAR POSTE'!$A:$A,A98,'4-BILAN PAR POSTE'!$B:$B,B98)</f>
        <v>25</v>
      </c>
    </row>
    <row r="99" ht="15.75" customHeight="1"/>
    <row r="100" ht="15.0" customHeight="1">
      <c r="A100" s="47" t="s">
        <v>118</v>
      </c>
      <c r="B100" s="48"/>
      <c r="C100" s="49"/>
      <c r="D100" s="50" t="str">
        <f>SUM(D4:D98)</f>
        <v>36841</v>
      </c>
      <c r="E100" s="51" t="str">
        <f t="shared" ref="E100:H100" si="3">AVERAGE(E4:E98)</f>
        <v>80%</v>
      </c>
      <c r="F100" s="51" t="str">
        <f t="shared" si="3"/>
        <v>92%</v>
      </c>
      <c r="G100" s="51" t="str">
        <f t="shared" si="3"/>
        <v>85%</v>
      </c>
      <c r="H100" s="51" t="str">
        <f t="shared" si="3"/>
        <v>64%</v>
      </c>
      <c r="I100" s="50" t="str">
        <f t="shared" ref="I100:K100" si="4">SUM(I4:I98)</f>
        <v>4072</v>
      </c>
      <c r="J100" s="50" t="str">
        <f t="shared" si="4"/>
        <v>2639</v>
      </c>
      <c r="K100" s="50" t="str">
        <f t="shared" si="4"/>
        <v>2174</v>
      </c>
    </row>
  </sheetData>
  <mergeCells count="3">
    <mergeCell ref="A1:K1"/>
    <mergeCell ref="A2:K2"/>
    <mergeCell ref="A100:C100"/>
  </mergeCells>
  <printOptions/>
  <pageMargins bottom="1.0" footer="0.0" header="0.0" left="0.75" right="0.75" top="1.0"/>
  <pageSetup paperSize="9" orientation="portrait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12.0"/>
    <col customWidth="1" min="2" max="2" width="9.0"/>
    <col customWidth="1" min="3" max="3" width="22.0"/>
    <col customWidth="1" min="4" max="4" width="20.0"/>
    <col customWidth="1" min="5" max="5" width="28.0"/>
    <col customWidth="1" min="6" max="6" width="14.0"/>
    <col customWidth="1" min="7" max="11" width="8.57"/>
  </cols>
  <sheetData>
    <row r="1" ht="18.0" customHeight="1">
      <c r="A1" s="1" t="s">
        <v>119</v>
      </c>
    </row>
    <row r="2" ht="24.0" customHeight="1">
      <c r="A2" s="30" t="s">
        <v>120</v>
      </c>
      <c r="B2" s="31"/>
      <c r="C2" s="31"/>
      <c r="D2" s="31"/>
      <c r="E2" s="31"/>
      <c r="F2" s="32"/>
    </row>
    <row r="3" ht="21.75" customHeight="1">
      <c r="A3" s="10" t="s">
        <v>121</v>
      </c>
    </row>
    <row r="4" ht="31.5" customHeight="1">
      <c r="A4" s="7" t="s">
        <v>43</v>
      </c>
      <c r="B4" s="7" t="s">
        <v>44</v>
      </c>
      <c r="C4" s="7" t="s">
        <v>122</v>
      </c>
      <c r="D4" s="7" t="s">
        <v>123</v>
      </c>
      <c r="E4" s="7" t="s">
        <v>124</v>
      </c>
      <c r="F4" s="7" t="s">
        <v>125</v>
      </c>
    </row>
    <row r="5" ht="15.0" customHeight="1">
      <c r="A5" s="52">
        <v>46185.0</v>
      </c>
      <c r="B5" s="11" t="s">
        <v>66</v>
      </c>
      <c r="C5" s="11" t="s">
        <v>126</v>
      </c>
      <c r="D5" s="11" t="s">
        <v>127</v>
      </c>
      <c r="E5" s="53"/>
      <c r="F5" s="18"/>
    </row>
    <row r="6" ht="15.0" customHeight="1">
      <c r="A6" s="52">
        <v>46185.0</v>
      </c>
      <c r="B6" s="11" t="s">
        <v>66</v>
      </c>
      <c r="C6" s="11" t="s">
        <v>128</v>
      </c>
      <c r="D6" s="11" t="s">
        <v>129</v>
      </c>
      <c r="E6" s="54" t="s">
        <v>130</v>
      </c>
      <c r="F6" s="18"/>
    </row>
    <row r="7" ht="15.0" customHeight="1">
      <c r="A7" s="52">
        <v>46185.0</v>
      </c>
      <c r="B7" s="11" t="s">
        <v>66</v>
      </c>
      <c r="C7" s="11" t="s">
        <v>128</v>
      </c>
      <c r="D7" s="11" t="s">
        <v>131</v>
      </c>
      <c r="E7" s="54" t="s">
        <v>130</v>
      </c>
      <c r="F7" s="18"/>
    </row>
    <row r="8" ht="15.0" customHeight="1">
      <c r="A8" s="52">
        <v>46185.0</v>
      </c>
      <c r="B8" s="11" t="s">
        <v>66</v>
      </c>
      <c r="C8" s="11" t="s">
        <v>128</v>
      </c>
      <c r="D8" s="11" t="s">
        <v>132</v>
      </c>
      <c r="E8" s="54" t="s">
        <v>130</v>
      </c>
      <c r="F8" s="18"/>
    </row>
    <row r="9" ht="15.0" customHeight="1">
      <c r="A9" s="52">
        <v>46185.0</v>
      </c>
      <c r="B9" s="11" t="s">
        <v>66</v>
      </c>
      <c r="C9" s="11" t="s">
        <v>128</v>
      </c>
      <c r="D9" s="11" t="s">
        <v>133</v>
      </c>
      <c r="E9" s="54" t="s">
        <v>130</v>
      </c>
      <c r="F9" s="18"/>
    </row>
    <row r="10" ht="15.0" customHeight="1">
      <c r="A10" s="52">
        <v>46185.0</v>
      </c>
      <c r="B10" s="11" t="s">
        <v>66</v>
      </c>
      <c r="C10" s="11" t="s">
        <v>128</v>
      </c>
      <c r="D10" s="11" t="s">
        <v>134</v>
      </c>
      <c r="E10" s="54" t="s">
        <v>130</v>
      </c>
      <c r="F10" s="18"/>
    </row>
    <row r="11" ht="15.0" customHeight="1">
      <c r="A11" s="52">
        <v>46185.0</v>
      </c>
      <c r="B11" s="11" t="s">
        <v>66</v>
      </c>
      <c r="C11" s="11" t="s">
        <v>128</v>
      </c>
      <c r="D11" s="11" t="s">
        <v>135</v>
      </c>
      <c r="E11" s="54" t="s">
        <v>130</v>
      </c>
      <c r="F11" s="18"/>
    </row>
    <row r="12" ht="15.0" customHeight="1">
      <c r="A12" s="52">
        <v>46185.0</v>
      </c>
      <c r="B12" s="11" t="s">
        <v>66</v>
      </c>
      <c r="C12" s="11" t="s">
        <v>128</v>
      </c>
      <c r="D12" s="11" t="s">
        <v>136</v>
      </c>
      <c r="E12" s="54" t="s">
        <v>130</v>
      </c>
      <c r="F12" s="18"/>
    </row>
    <row r="13" ht="15.0" customHeight="1">
      <c r="A13" s="52">
        <v>46184.0</v>
      </c>
      <c r="B13" s="11" t="s">
        <v>66</v>
      </c>
      <c r="C13" s="11" t="s">
        <v>126</v>
      </c>
      <c r="D13" s="11" t="s">
        <v>127</v>
      </c>
      <c r="E13" s="54" t="s">
        <v>130</v>
      </c>
      <c r="F13" s="18"/>
    </row>
    <row r="14" ht="15.0" customHeight="1">
      <c r="A14" s="52">
        <v>46184.0</v>
      </c>
      <c r="B14" s="11" t="s">
        <v>66</v>
      </c>
      <c r="C14" s="11" t="s">
        <v>137</v>
      </c>
      <c r="D14" s="11" t="s">
        <v>132</v>
      </c>
      <c r="E14" s="54" t="s">
        <v>130</v>
      </c>
      <c r="F14" s="18"/>
    </row>
    <row r="15" ht="15.0" customHeight="1">
      <c r="A15" s="52">
        <v>46184.0</v>
      </c>
      <c r="B15" s="11" t="s">
        <v>66</v>
      </c>
      <c r="C15" s="11" t="s">
        <v>137</v>
      </c>
      <c r="D15" s="11" t="s">
        <v>131</v>
      </c>
      <c r="E15" s="54" t="s">
        <v>130</v>
      </c>
      <c r="F15" s="18"/>
    </row>
    <row r="16" ht="15.0" customHeight="1">
      <c r="A16" s="52">
        <v>46184.0</v>
      </c>
      <c r="B16" s="11" t="s">
        <v>66</v>
      </c>
      <c r="C16" s="11" t="s">
        <v>137</v>
      </c>
      <c r="D16" s="11" t="s">
        <v>138</v>
      </c>
      <c r="E16" s="54" t="s">
        <v>130</v>
      </c>
      <c r="F16" s="18"/>
    </row>
    <row r="17" ht="15.0" customHeight="1">
      <c r="A17" s="52">
        <v>46184.0</v>
      </c>
      <c r="B17" s="11" t="s">
        <v>66</v>
      </c>
      <c r="C17" s="11" t="s">
        <v>128</v>
      </c>
      <c r="D17" s="11" t="s">
        <v>135</v>
      </c>
      <c r="E17" s="54" t="s">
        <v>130</v>
      </c>
      <c r="F17" s="18"/>
    </row>
    <row r="18" ht="15.0" customHeight="1">
      <c r="A18" s="52">
        <v>46184.0</v>
      </c>
      <c r="B18" s="11" t="s">
        <v>66</v>
      </c>
      <c r="C18" s="11" t="s">
        <v>128</v>
      </c>
      <c r="D18" s="11" t="s">
        <v>131</v>
      </c>
      <c r="E18" s="54" t="s">
        <v>130</v>
      </c>
      <c r="F18" s="18"/>
    </row>
    <row r="19" ht="15.0" customHeight="1">
      <c r="A19" s="52">
        <v>46184.0</v>
      </c>
      <c r="B19" s="11" t="s">
        <v>66</v>
      </c>
      <c r="C19" s="11" t="s">
        <v>128</v>
      </c>
      <c r="D19" s="11" t="s">
        <v>129</v>
      </c>
      <c r="E19" s="54" t="s">
        <v>130</v>
      </c>
      <c r="F19" s="18"/>
    </row>
    <row r="20" ht="15.0" customHeight="1">
      <c r="A20" s="52">
        <v>46184.0</v>
      </c>
      <c r="B20" s="11" t="s">
        <v>66</v>
      </c>
      <c r="C20" s="11" t="s">
        <v>128</v>
      </c>
      <c r="D20" s="11" t="s">
        <v>132</v>
      </c>
      <c r="E20" s="54" t="s">
        <v>130</v>
      </c>
      <c r="F20" s="18"/>
    </row>
    <row r="21" ht="15.0" customHeight="1">
      <c r="A21" s="52">
        <v>46184.0</v>
      </c>
      <c r="B21" s="11" t="s">
        <v>66</v>
      </c>
      <c r="C21" s="11" t="s">
        <v>128</v>
      </c>
      <c r="D21" s="11" t="s">
        <v>133</v>
      </c>
      <c r="E21" s="54" t="s">
        <v>130</v>
      </c>
      <c r="F21" s="18"/>
    </row>
    <row r="22" ht="15.0" customHeight="1">
      <c r="A22" s="52">
        <v>46183.0</v>
      </c>
      <c r="B22" s="11" t="s">
        <v>54</v>
      </c>
      <c r="C22" s="11" t="s">
        <v>139</v>
      </c>
      <c r="D22" s="11" t="s">
        <v>132</v>
      </c>
      <c r="E22" s="54" t="s">
        <v>130</v>
      </c>
      <c r="F22" s="18"/>
    </row>
    <row r="23" ht="15.0" customHeight="1">
      <c r="A23" s="52">
        <v>46183.0</v>
      </c>
      <c r="B23" s="11" t="s">
        <v>54</v>
      </c>
      <c r="C23" s="11" t="s">
        <v>126</v>
      </c>
      <c r="D23" s="11" t="s">
        <v>140</v>
      </c>
      <c r="E23" s="54" t="s">
        <v>130</v>
      </c>
      <c r="F23" s="18"/>
    </row>
    <row r="24" ht="15.0" customHeight="1">
      <c r="A24" s="52">
        <v>46183.0</v>
      </c>
      <c r="B24" s="11" t="s">
        <v>54</v>
      </c>
      <c r="C24" s="11" t="s">
        <v>128</v>
      </c>
      <c r="D24" s="11" t="s">
        <v>141</v>
      </c>
      <c r="E24" s="54" t="s">
        <v>130</v>
      </c>
      <c r="F24" s="18"/>
    </row>
    <row r="25" ht="15.0" customHeight="1">
      <c r="A25" s="52">
        <v>46183.0</v>
      </c>
      <c r="B25" s="11" t="s">
        <v>54</v>
      </c>
      <c r="C25" s="11" t="s">
        <v>128</v>
      </c>
      <c r="D25" s="11" t="s">
        <v>142</v>
      </c>
      <c r="E25" s="54" t="s">
        <v>130</v>
      </c>
      <c r="F25" s="18"/>
    </row>
    <row r="26" ht="15.0" customHeight="1">
      <c r="A26" s="52">
        <v>46183.0</v>
      </c>
      <c r="B26" s="11" t="s">
        <v>66</v>
      </c>
      <c r="C26" s="11" t="s">
        <v>126</v>
      </c>
      <c r="D26" s="11" t="s">
        <v>127</v>
      </c>
      <c r="E26" s="53"/>
      <c r="F26" s="18"/>
    </row>
    <row r="27" ht="15.0" customHeight="1">
      <c r="A27" s="52">
        <v>46183.0</v>
      </c>
      <c r="B27" s="11" t="s">
        <v>66</v>
      </c>
      <c r="C27" s="11" t="s">
        <v>126</v>
      </c>
      <c r="D27" s="11" t="s">
        <v>143</v>
      </c>
      <c r="E27" s="53"/>
      <c r="F27" s="18"/>
    </row>
    <row r="28" ht="15.0" customHeight="1">
      <c r="A28" s="52">
        <v>46183.0</v>
      </c>
      <c r="B28" s="11" t="s">
        <v>66</v>
      </c>
      <c r="C28" s="11" t="s">
        <v>144</v>
      </c>
      <c r="D28" s="11" t="s">
        <v>138</v>
      </c>
      <c r="E28" s="54" t="s">
        <v>130</v>
      </c>
      <c r="F28" s="11">
        <v>10.0</v>
      </c>
    </row>
    <row r="29" ht="15.0" customHeight="1">
      <c r="A29" s="52">
        <v>46183.0</v>
      </c>
      <c r="B29" s="11" t="s">
        <v>66</v>
      </c>
      <c r="C29" s="11" t="s">
        <v>128</v>
      </c>
      <c r="D29" s="11" t="s">
        <v>145</v>
      </c>
      <c r="E29" s="54" t="s">
        <v>130</v>
      </c>
      <c r="F29" s="18"/>
    </row>
    <row r="30" ht="15.0" customHeight="1">
      <c r="A30" s="52">
        <v>46183.0</v>
      </c>
      <c r="B30" s="11" t="s">
        <v>66</v>
      </c>
      <c r="C30" s="11" t="s">
        <v>144</v>
      </c>
      <c r="D30" s="11" t="s">
        <v>131</v>
      </c>
      <c r="E30" s="54" t="s">
        <v>130</v>
      </c>
      <c r="F30" s="11">
        <v>10.0</v>
      </c>
    </row>
    <row r="31" ht="15.0" customHeight="1">
      <c r="A31" s="52">
        <v>46183.0</v>
      </c>
      <c r="B31" s="11" t="s">
        <v>66</v>
      </c>
      <c r="C31" s="11" t="s">
        <v>128</v>
      </c>
      <c r="D31" s="11" t="s">
        <v>133</v>
      </c>
      <c r="E31" s="54" t="s">
        <v>130</v>
      </c>
      <c r="F31" s="18"/>
    </row>
    <row r="32" ht="15.0" customHeight="1">
      <c r="A32" s="52">
        <v>46183.0</v>
      </c>
      <c r="B32" s="11" t="s">
        <v>66</v>
      </c>
      <c r="C32" s="11" t="s">
        <v>128</v>
      </c>
      <c r="D32" s="11" t="s">
        <v>129</v>
      </c>
      <c r="E32" s="54" t="s">
        <v>130</v>
      </c>
      <c r="F32" s="18"/>
    </row>
    <row r="33" ht="15.0" customHeight="1">
      <c r="A33" s="52">
        <v>46183.0</v>
      </c>
      <c r="B33" s="11" t="s">
        <v>66</v>
      </c>
      <c r="C33" s="11" t="s">
        <v>128</v>
      </c>
      <c r="D33" s="11" t="s">
        <v>146</v>
      </c>
      <c r="E33" s="54" t="s">
        <v>130</v>
      </c>
      <c r="F33" s="18"/>
    </row>
    <row r="34" ht="15.0" customHeight="1">
      <c r="A34" s="52">
        <v>46183.0</v>
      </c>
      <c r="B34" s="11" t="s">
        <v>66</v>
      </c>
      <c r="C34" s="11" t="s">
        <v>128</v>
      </c>
      <c r="D34" s="11" t="s">
        <v>135</v>
      </c>
      <c r="E34" s="54" t="s">
        <v>130</v>
      </c>
      <c r="F34" s="18"/>
    </row>
    <row r="35" ht="15.0" customHeight="1">
      <c r="A35" s="52">
        <v>46183.0</v>
      </c>
      <c r="B35" s="11" t="s">
        <v>66</v>
      </c>
      <c r="C35" s="11" t="s">
        <v>144</v>
      </c>
      <c r="D35" s="11" t="s">
        <v>132</v>
      </c>
      <c r="E35" s="54" t="s">
        <v>130</v>
      </c>
      <c r="F35" s="11">
        <v>15.0</v>
      </c>
    </row>
    <row r="36" ht="15.0" customHeight="1">
      <c r="A36" s="52">
        <v>46183.0</v>
      </c>
      <c r="B36" s="11" t="s">
        <v>66</v>
      </c>
      <c r="C36" s="11" t="s">
        <v>144</v>
      </c>
      <c r="D36" s="11" t="s">
        <v>147</v>
      </c>
      <c r="E36" s="54" t="s">
        <v>130</v>
      </c>
      <c r="F36" s="11">
        <v>10.0</v>
      </c>
    </row>
    <row r="37" ht="15.0" customHeight="1">
      <c r="A37" s="52">
        <v>46182.0</v>
      </c>
      <c r="B37" s="11" t="s">
        <v>66</v>
      </c>
      <c r="C37" s="11" t="s">
        <v>126</v>
      </c>
      <c r="D37" s="11" t="s">
        <v>127</v>
      </c>
      <c r="E37" s="54" t="s">
        <v>130</v>
      </c>
      <c r="F37" s="18"/>
    </row>
    <row r="38" ht="15.0" customHeight="1">
      <c r="A38" s="52">
        <v>46182.0</v>
      </c>
      <c r="B38" s="11" t="s">
        <v>66</v>
      </c>
      <c r="C38" s="11" t="s">
        <v>128</v>
      </c>
      <c r="D38" s="11" t="s">
        <v>131</v>
      </c>
      <c r="E38" s="54" t="s">
        <v>130</v>
      </c>
      <c r="F38" s="18"/>
    </row>
    <row r="39" ht="15.0" customHeight="1">
      <c r="A39" s="52">
        <v>46182.0</v>
      </c>
      <c r="B39" s="11" t="s">
        <v>66</v>
      </c>
      <c r="C39" s="11" t="s">
        <v>128</v>
      </c>
      <c r="D39" s="11" t="s">
        <v>148</v>
      </c>
      <c r="E39" s="54" t="s">
        <v>130</v>
      </c>
      <c r="F39" s="18"/>
    </row>
    <row r="40" ht="15.0" customHeight="1">
      <c r="A40" s="52">
        <v>46182.0</v>
      </c>
      <c r="B40" s="11" t="s">
        <v>66</v>
      </c>
      <c r="C40" s="11" t="s">
        <v>128</v>
      </c>
      <c r="D40" s="11" t="s">
        <v>149</v>
      </c>
      <c r="E40" s="54" t="s">
        <v>130</v>
      </c>
      <c r="F40" s="18"/>
    </row>
    <row r="41" ht="15.0" customHeight="1">
      <c r="A41" s="52">
        <v>46182.0</v>
      </c>
      <c r="B41" s="11" t="s">
        <v>66</v>
      </c>
      <c r="C41" s="11" t="s">
        <v>128</v>
      </c>
      <c r="D41" s="11" t="s">
        <v>133</v>
      </c>
      <c r="E41" s="54" t="s">
        <v>130</v>
      </c>
      <c r="F41" s="18"/>
    </row>
    <row r="42" ht="15.0" customHeight="1">
      <c r="A42" s="52">
        <v>46182.0</v>
      </c>
      <c r="B42" s="11" t="s">
        <v>66</v>
      </c>
      <c r="C42" s="11" t="s">
        <v>128</v>
      </c>
      <c r="D42" s="11" t="s">
        <v>129</v>
      </c>
      <c r="E42" s="54" t="s">
        <v>130</v>
      </c>
      <c r="F42" s="18"/>
    </row>
    <row r="43" ht="15.0" customHeight="1">
      <c r="A43" s="52">
        <v>46182.0</v>
      </c>
      <c r="B43" s="11" t="s">
        <v>66</v>
      </c>
      <c r="C43" s="11" t="s">
        <v>128</v>
      </c>
      <c r="D43" s="11" t="s">
        <v>134</v>
      </c>
      <c r="E43" s="54" t="s">
        <v>130</v>
      </c>
      <c r="F43" s="18"/>
    </row>
    <row r="44" ht="15.0" customHeight="1">
      <c r="A44" s="52">
        <v>46181.0</v>
      </c>
      <c r="B44" s="11" t="s">
        <v>66</v>
      </c>
      <c r="C44" s="11" t="s">
        <v>126</v>
      </c>
      <c r="D44" s="11" t="s">
        <v>127</v>
      </c>
      <c r="E44" s="53"/>
      <c r="F44" s="18"/>
    </row>
    <row r="45" ht="15.0" customHeight="1">
      <c r="A45" s="52">
        <v>46177.0</v>
      </c>
      <c r="B45" s="11" t="s">
        <v>66</v>
      </c>
      <c r="C45" s="11" t="s">
        <v>126</v>
      </c>
      <c r="D45" s="11" t="s">
        <v>127</v>
      </c>
      <c r="E45" s="53"/>
      <c r="F45" s="18"/>
    </row>
    <row r="46" ht="15.0" customHeight="1">
      <c r="A46" s="52">
        <v>46177.0</v>
      </c>
      <c r="B46" s="11" t="s">
        <v>66</v>
      </c>
      <c r="C46" s="11" t="s">
        <v>126</v>
      </c>
      <c r="D46" s="11" t="s">
        <v>150</v>
      </c>
      <c r="E46" s="54" t="s">
        <v>139</v>
      </c>
      <c r="F46" s="18"/>
    </row>
    <row r="47" ht="15.0" customHeight="1">
      <c r="A47" s="52">
        <v>46176.0</v>
      </c>
      <c r="B47" s="11" t="s">
        <v>66</v>
      </c>
      <c r="C47" s="11" t="s">
        <v>126</v>
      </c>
      <c r="D47" s="11" t="s">
        <v>150</v>
      </c>
      <c r="E47" s="54" t="s">
        <v>139</v>
      </c>
      <c r="F47" s="18"/>
    </row>
    <row r="48" ht="15.0" customHeight="1">
      <c r="A48" s="52">
        <v>46177.0</v>
      </c>
      <c r="B48" s="11" t="s">
        <v>54</v>
      </c>
      <c r="C48" s="11" t="s">
        <v>126</v>
      </c>
      <c r="D48" s="11" t="s">
        <v>132</v>
      </c>
      <c r="E48" s="53"/>
      <c r="F48" s="18"/>
    </row>
    <row r="49" ht="15.0" customHeight="1">
      <c r="A49" s="52">
        <v>46177.0</v>
      </c>
      <c r="B49" s="11" t="s">
        <v>54</v>
      </c>
      <c r="C49" s="11" t="s">
        <v>126</v>
      </c>
      <c r="D49" s="11" t="s">
        <v>140</v>
      </c>
      <c r="E49" s="54" t="s">
        <v>151</v>
      </c>
      <c r="F49" s="18"/>
    </row>
    <row r="50" ht="27.75" customHeight="1">
      <c r="A50" s="52">
        <v>46177.0</v>
      </c>
      <c r="B50" s="11" t="s">
        <v>54</v>
      </c>
      <c r="C50" s="11" t="s">
        <v>137</v>
      </c>
      <c r="D50" s="11" t="s">
        <v>152</v>
      </c>
      <c r="E50" s="54" t="s">
        <v>153</v>
      </c>
      <c r="F50" s="11">
        <v>10.0</v>
      </c>
    </row>
    <row r="51" ht="27.75" customHeight="1">
      <c r="A51" s="52">
        <v>46177.0</v>
      </c>
      <c r="B51" s="11" t="s">
        <v>54</v>
      </c>
      <c r="C51" s="11" t="s">
        <v>128</v>
      </c>
      <c r="D51" s="11" t="s">
        <v>154</v>
      </c>
      <c r="E51" s="54" t="s">
        <v>130</v>
      </c>
      <c r="F51" s="55"/>
    </row>
    <row r="52" ht="27.75" customHeight="1">
      <c r="A52" s="52">
        <v>46177.0</v>
      </c>
      <c r="B52" s="11" t="s">
        <v>54</v>
      </c>
      <c r="C52" s="11" t="s">
        <v>126</v>
      </c>
      <c r="D52" s="11" t="s">
        <v>142</v>
      </c>
      <c r="E52" s="54" t="s">
        <v>130</v>
      </c>
      <c r="F52" s="55"/>
    </row>
    <row r="53" ht="27.75" customHeight="1">
      <c r="A53" s="52">
        <v>46174.0</v>
      </c>
      <c r="B53" s="11" t="s">
        <v>54</v>
      </c>
      <c r="C53" s="11" t="s">
        <v>126</v>
      </c>
      <c r="D53" s="11" t="s">
        <v>132</v>
      </c>
      <c r="E53" s="54" t="s">
        <v>139</v>
      </c>
      <c r="F53" s="55"/>
    </row>
    <row r="54" ht="27.75" customHeight="1">
      <c r="A54" s="52">
        <v>46174.0</v>
      </c>
      <c r="B54" s="11" t="s">
        <v>54</v>
      </c>
      <c r="C54" s="11" t="s">
        <v>126</v>
      </c>
      <c r="D54" s="11" t="s">
        <v>140</v>
      </c>
      <c r="E54" s="54" t="s">
        <v>151</v>
      </c>
      <c r="F54" s="55"/>
    </row>
    <row r="55" ht="27.75" customHeight="1">
      <c r="A55" s="52">
        <v>46174.0</v>
      </c>
      <c r="B55" s="11" t="s">
        <v>54</v>
      </c>
      <c r="C55" s="11" t="s">
        <v>137</v>
      </c>
      <c r="D55" s="11" t="s">
        <v>152</v>
      </c>
      <c r="E55" s="56"/>
      <c r="F55" s="11">
        <v>10.0</v>
      </c>
    </row>
    <row r="56" ht="27.75" customHeight="1">
      <c r="A56" s="52">
        <v>46174.0</v>
      </c>
      <c r="B56" s="11" t="s">
        <v>54</v>
      </c>
      <c r="C56" s="11" t="s">
        <v>137</v>
      </c>
      <c r="D56" s="11" t="s">
        <v>155</v>
      </c>
      <c r="E56" s="56"/>
      <c r="F56" s="11">
        <v>10.0</v>
      </c>
    </row>
    <row r="57" ht="27.75" customHeight="1">
      <c r="A57" s="52">
        <v>46174.0</v>
      </c>
      <c r="B57" s="11" t="s">
        <v>66</v>
      </c>
      <c r="C57" s="11" t="s">
        <v>137</v>
      </c>
      <c r="D57" s="11" t="s">
        <v>150</v>
      </c>
      <c r="E57" s="54" t="s">
        <v>139</v>
      </c>
      <c r="F57" s="55"/>
    </row>
    <row r="58" ht="27.75" customHeight="1">
      <c r="A58" s="52">
        <v>46178.0</v>
      </c>
      <c r="B58" s="11" t="s">
        <v>54</v>
      </c>
      <c r="C58" s="11" t="s">
        <v>126</v>
      </c>
      <c r="D58" s="11" t="s">
        <v>132</v>
      </c>
      <c r="E58" s="54" t="s">
        <v>139</v>
      </c>
      <c r="F58" s="55"/>
    </row>
    <row r="59" ht="27.75" customHeight="1">
      <c r="A59" s="52">
        <v>46178.0</v>
      </c>
      <c r="B59" s="11" t="s">
        <v>54</v>
      </c>
      <c r="C59" s="11" t="s">
        <v>126</v>
      </c>
      <c r="D59" s="11" t="s">
        <v>140</v>
      </c>
      <c r="E59" s="54" t="s">
        <v>151</v>
      </c>
      <c r="F59" s="55"/>
    </row>
    <row r="60" ht="27.75" customHeight="1">
      <c r="A60" s="52">
        <v>46178.0</v>
      </c>
      <c r="B60" s="11" t="s">
        <v>54</v>
      </c>
      <c r="C60" s="11" t="s">
        <v>128</v>
      </c>
      <c r="D60" s="11" t="s">
        <v>142</v>
      </c>
      <c r="E60" s="54" t="s">
        <v>130</v>
      </c>
      <c r="F60" s="55"/>
    </row>
    <row r="61" ht="27.75" customHeight="1">
      <c r="A61" s="52">
        <v>46178.0</v>
      </c>
      <c r="B61" s="11" t="s">
        <v>54</v>
      </c>
      <c r="C61" s="11" t="s">
        <v>128</v>
      </c>
      <c r="D61" s="11" t="s">
        <v>156</v>
      </c>
      <c r="E61" s="54" t="s">
        <v>130</v>
      </c>
      <c r="F61" s="55"/>
    </row>
    <row r="62" ht="27.75" customHeight="1">
      <c r="A62" s="52">
        <v>46178.0</v>
      </c>
      <c r="B62" s="11" t="s">
        <v>54</v>
      </c>
      <c r="C62" s="11" t="s">
        <v>126</v>
      </c>
      <c r="D62" s="11" t="s">
        <v>150</v>
      </c>
      <c r="E62" s="54" t="s">
        <v>139</v>
      </c>
      <c r="F62" s="55"/>
    </row>
    <row r="63" ht="27.75" customHeight="1">
      <c r="A63" s="52">
        <v>46178.0</v>
      </c>
      <c r="B63" s="11" t="s">
        <v>54</v>
      </c>
      <c r="C63" s="11" t="s">
        <v>126</v>
      </c>
      <c r="D63" s="11" t="s">
        <v>127</v>
      </c>
      <c r="E63" s="56"/>
      <c r="F63" s="55"/>
    </row>
    <row r="64" ht="27.75" customHeight="1">
      <c r="A64" s="52">
        <v>46178.0</v>
      </c>
      <c r="B64" s="11" t="s">
        <v>54</v>
      </c>
      <c r="C64" s="11" t="s">
        <v>126</v>
      </c>
      <c r="D64" s="11" t="s">
        <v>132</v>
      </c>
      <c r="E64" s="56"/>
      <c r="F64" s="55"/>
    </row>
    <row r="65" ht="27.75" customHeight="1">
      <c r="A65" s="52">
        <v>46178.0</v>
      </c>
      <c r="B65" s="11" t="s">
        <v>54</v>
      </c>
      <c r="C65" s="11" t="s">
        <v>126</v>
      </c>
      <c r="D65" s="11" t="s">
        <v>140</v>
      </c>
      <c r="E65" s="56"/>
      <c r="F65" s="55"/>
    </row>
    <row r="66" ht="27.75" customHeight="1">
      <c r="A66" s="52">
        <v>46178.0</v>
      </c>
      <c r="B66" s="11" t="s">
        <v>54</v>
      </c>
      <c r="C66" s="11" t="s">
        <v>128</v>
      </c>
      <c r="D66" s="11" t="s">
        <v>142</v>
      </c>
      <c r="E66" s="54" t="s">
        <v>130</v>
      </c>
      <c r="F66" s="55"/>
    </row>
    <row r="67" ht="27.75" customHeight="1">
      <c r="A67" s="52">
        <v>46178.0</v>
      </c>
      <c r="B67" s="11" t="s">
        <v>54</v>
      </c>
      <c r="C67" s="11" t="s">
        <v>128</v>
      </c>
      <c r="D67" s="11" t="s">
        <v>156</v>
      </c>
      <c r="E67" s="54" t="s">
        <v>130</v>
      </c>
      <c r="F67" s="55"/>
    </row>
    <row r="68" ht="27.75" customHeight="1">
      <c r="A68" s="52">
        <v>46172.0</v>
      </c>
      <c r="B68" s="11" t="s">
        <v>54</v>
      </c>
      <c r="C68" s="11" t="s">
        <v>126</v>
      </c>
      <c r="D68" s="11" t="s">
        <v>150</v>
      </c>
      <c r="E68" s="56"/>
      <c r="F68" s="55"/>
    </row>
    <row r="69" ht="27.75" customHeight="1">
      <c r="A69" s="52">
        <v>46172.0</v>
      </c>
      <c r="B69" s="11" t="s">
        <v>54</v>
      </c>
      <c r="C69" s="11" t="s">
        <v>126</v>
      </c>
      <c r="D69" s="11" t="s">
        <v>157</v>
      </c>
      <c r="E69" s="56"/>
      <c r="F69" s="55"/>
    </row>
    <row r="70" ht="27.75" customHeight="1">
      <c r="A70" s="52">
        <v>46172.0</v>
      </c>
      <c r="B70" s="11" t="s">
        <v>54</v>
      </c>
      <c r="C70" s="11" t="s">
        <v>137</v>
      </c>
      <c r="D70" s="11" t="s">
        <v>132</v>
      </c>
      <c r="E70" s="56"/>
      <c r="F70" s="11">
        <v>15.0</v>
      </c>
    </row>
    <row r="71" ht="27.75" customHeight="1">
      <c r="A71" s="52">
        <v>46172.0</v>
      </c>
      <c r="B71" s="11" t="s">
        <v>54</v>
      </c>
      <c r="C71" s="11" t="s">
        <v>128</v>
      </c>
      <c r="D71" s="11" t="s">
        <v>132</v>
      </c>
      <c r="E71" s="54" t="s">
        <v>130</v>
      </c>
      <c r="F71" s="55"/>
    </row>
    <row r="72" ht="27.75" customHeight="1">
      <c r="A72" s="52">
        <v>46172.0</v>
      </c>
      <c r="B72" s="11" t="s">
        <v>54</v>
      </c>
      <c r="C72" s="11" t="s">
        <v>128</v>
      </c>
      <c r="D72" s="11" t="s">
        <v>131</v>
      </c>
      <c r="E72" s="54" t="s">
        <v>130</v>
      </c>
      <c r="F72" s="55"/>
    </row>
    <row r="73" ht="27.75" customHeight="1">
      <c r="A73" s="52">
        <v>46172.0</v>
      </c>
      <c r="B73" s="11" t="s">
        <v>54</v>
      </c>
      <c r="C73" s="11" t="s">
        <v>128</v>
      </c>
      <c r="D73" s="11" t="s">
        <v>129</v>
      </c>
      <c r="E73" s="54" t="s">
        <v>130</v>
      </c>
      <c r="F73" s="55"/>
    </row>
    <row r="74" ht="27.75" customHeight="1">
      <c r="A74" s="52">
        <v>46172.0</v>
      </c>
      <c r="B74" s="11" t="s">
        <v>54</v>
      </c>
      <c r="C74" s="11" t="s">
        <v>128</v>
      </c>
      <c r="D74" s="11" t="s">
        <v>133</v>
      </c>
      <c r="E74" s="54" t="s">
        <v>130</v>
      </c>
      <c r="F74" s="55"/>
    </row>
    <row r="75" ht="27.75" customHeight="1">
      <c r="A75" s="52">
        <v>46172.0</v>
      </c>
      <c r="B75" s="11" t="s">
        <v>66</v>
      </c>
      <c r="C75" s="11" t="s">
        <v>126</v>
      </c>
      <c r="D75" s="11" t="s">
        <v>158</v>
      </c>
      <c r="E75" s="54" t="s">
        <v>159</v>
      </c>
      <c r="F75" s="55"/>
    </row>
    <row r="76" ht="27.75" customHeight="1">
      <c r="A76" s="52">
        <v>46172.0</v>
      </c>
      <c r="B76" s="11" t="s">
        <v>66</v>
      </c>
      <c r="C76" s="11" t="s">
        <v>126</v>
      </c>
      <c r="D76" s="11" t="s">
        <v>160</v>
      </c>
      <c r="E76" s="54" t="s">
        <v>159</v>
      </c>
      <c r="F76" s="55"/>
    </row>
    <row r="77" ht="27.75" customHeight="1">
      <c r="A77" s="52">
        <v>46172.0</v>
      </c>
      <c r="B77" s="11" t="s">
        <v>66</v>
      </c>
      <c r="C77" s="11" t="s">
        <v>126</v>
      </c>
      <c r="D77" s="11" t="s">
        <v>161</v>
      </c>
      <c r="E77" s="54" t="s">
        <v>159</v>
      </c>
      <c r="F77" s="55"/>
    </row>
    <row r="78" ht="27.75" customHeight="1">
      <c r="A78" s="52">
        <v>46172.0</v>
      </c>
      <c r="B78" s="11" t="s">
        <v>66</v>
      </c>
      <c r="C78" s="11" t="s">
        <v>126</v>
      </c>
      <c r="D78" s="11" t="s">
        <v>162</v>
      </c>
      <c r="E78" s="54" t="s">
        <v>159</v>
      </c>
      <c r="F78" s="55"/>
    </row>
    <row r="79" ht="27.75" customHeight="1">
      <c r="A79" s="52">
        <v>46172.0</v>
      </c>
      <c r="B79" s="11" t="s">
        <v>66</v>
      </c>
      <c r="C79" s="11" t="s">
        <v>128</v>
      </c>
      <c r="D79" s="11" t="s">
        <v>156</v>
      </c>
      <c r="E79" s="54" t="s">
        <v>130</v>
      </c>
      <c r="F79" s="55"/>
    </row>
    <row r="80" ht="27.75" customHeight="1">
      <c r="A80" s="52">
        <v>46172.0</v>
      </c>
      <c r="B80" s="11" t="s">
        <v>66</v>
      </c>
      <c r="C80" s="11" t="s">
        <v>128</v>
      </c>
      <c r="D80" s="11" t="s">
        <v>142</v>
      </c>
      <c r="E80" s="54" t="s">
        <v>130</v>
      </c>
      <c r="F80" s="55"/>
    </row>
    <row r="81" ht="27.75" customHeight="1">
      <c r="A81" s="52">
        <v>46170.0</v>
      </c>
      <c r="B81" s="11" t="s">
        <v>66</v>
      </c>
      <c r="C81" s="11" t="s">
        <v>128</v>
      </c>
      <c r="D81" s="11" t="s">
        <v>150</v>
      </c>
      <c r="E81" s="54" t="s">
        <v>130</v>
      </c>
      <c r="F81" s="55"/>
    </row>
    <row r="82" ht="27.75" customHeight="1">
      <c r="A82" s="52">
        <v>46170.0</v>
      </c>
      <c r="B82" s="11" t="s">
        <v>66</v>
      </c>
      <c r="C82" s="11" t="s">
        <v>128</v>
      </c>
      <c r="D82" s="11" t="s">
        <v>148</v>
      </c>
      <c r="E82" s="54" t="s">
        <v>130</v>
      </c>
      <c r="F82" s="55"/>
    </row>
    <row r="83" ht="27.75" customHeight="1">
      <c r="A83" s="52">
        <v>46170.0</v>
      </c>
      <c r="B83" s="11" t="s">
        <v>66</v>
      </c>
      <c r="C83" s="11" t="s">
        <v>128</v>
      </c>
      <c r="D83" s="11" t="s">
        <v>132</v>
      </c>
      <c r="E83" s="54" t="s">
        <v>130</v>
      </c>
      <c r="F83" s="55"/>
    </row>
    <row r="84" ht="27.75" customHeight="1">
      <c r="A84" s="52">
        <v>46170.0</v>
      </c>
      <c r="B84" s="11" t="s">
        <v>66</v>
      </c>
      <c r="C84" s="11" t="s">
        <v>128</v>
      </c>
      <c r="D84" s="11" t="s">
        <v>129</v>
      </c>
      <c r="E84" s="54" t="s">
        <v>130</v>
      </c>
      <c r="F84" s="55"/>
    </row>
    <row r="85" ht="27.75" customHeight="1">
      <c r="A85" s="52">
        <v>46170.0</v>
      </c>
      <c r="B85" s="11" t="s">
        <v>66</v>
      </c>
      <c r="C85" s="11" t="s">
        <v>128</v>
      </c>
      <c r="D85" s="11" t="s">
        <v>133</v>
      </c>
      <c r="E85" s="54" t="s">
        <v>130</v>
      </c>
      <c r="F85" s="55"/>
    </row>
    <row r="86" ht="27.75" customHeight="1">
      <c r="A86" s="52">
        <v>46171.0</v>
      </c>
      <c r="B86" s="11" t="s">
        <v>66</v>
      </c>
      <c r="C86" s="11" t="s">
        <v>126</v>
      </c>
      <c r="D86" s="11" t="s">
        <v>150</v>
      </c>
      <c r="E86" s="56"/>
      <c r="F86" s="55"/>
    </row>
    <row r="87" ht="27.75" customHeight="1">
      <c r="A87" s="52">
        <v>46171.0</v>
      </c>
      <c r="B87" s="11" t="s">
        <v>66</v>
      </c>
      <c r="C87" s="11" t="s">
        <v>137</v>
      </c>
      <c r="D87" s="11" t="s">
        <v>163</v>
      </c>
      <c r="E87" s="56"/>
      <c r="F87" s="11">
        <v>15.0</v>
      </c>
    </row>
    <row r="88" ht="27.75" customHeight="1">
      <c r="A88" s="52">
        <v>46171.0</v>
      </c>
      <c r="B88" s="11" t="s">
        <v>66</v>
      </c>
      <c r="C88" s="11" t="s">
        <v>128</v>
      </c>
      <c r="D88" s="11" t="s">
        <v>164</v>
      </c>
      <c r="E88" s="54" t="s">
        <v>130</v>
      </c>
      <c r="F88" s="55"/>
    </row>
    <row r="89" ht="27.75" customHeight="1">
      <c r="A89" s="52">
        <v>46171.0</v>
      </c>
      <c r="B89" s="11" t="s">
        <v>66</v>
      </c>
      <c r="C89" s="11" t="s">
        <v>128</v>
      </c>
      <c r="D89" s="11" t="s">
        <v>148</v>
      </c>
      <c r="E89" s="54" t="s">
        <v>130</v>
      </c>
      <c r="F89" s="55"/>
    </row>
    <row r="90" ht="27.75" customHeight="1">
      <c r="A90" s="52">
        <v>46171.0</v>
      </c>
      <c r="B90" s="11" t="s">
        <v>66</v>
      </c>
      <c r="C90" s="11" t="s">
        <v>128</v>
      </c>
      <c r="D90" s="11" t="s">
        <v>135</v>
      </c>
      <c r="E90" s="54" t="s">
        <v>130</v>
      </c>
      <c r="F90" s="55"/>
    </row>
    <row r="91" ht="27.75" customHeight="1">
      <c r="A91" s="52">
        <v>46171.0</v>
      </c>
      <c r="B91" s="11" t="s">
        <v>66</v>
      </c>
      <c r="C91" s="11" t="s">
        <v>128</v>
      </c>
      <c r="D91" s="11" t="s">
        <v>163</v>
      </c>
      <c r="E91" s="54" t="s">
        <v>130</v>
      </c>
      <c r="F91" s="55"/>
    </row>
    <row r="92" ht="27.75" customHeight="1">
      <c r="A92" s="52">
        <v>46171.0</v>
      </c>
      <c r="B92" s="11" t="s">
        <v>66</v>
      </c>
      <c r="C92" s="11" t="s">
        <v>128</v>
      </c>
      <c r="D92" s="11" t="s">
        <v>129</v>
      </c>
      <c r="E92" s="54" t="s">
        <v>130</v>
      </c>
      <c r="F92" s="55"/>
    </row>
    <row r="93" ht="27.75" customHeight="1">
      <c r="A93" s="52">
        <v>46170.0</v>
      </c>
      <c r="B93" s="11" t="s">
        <v>66</v>
      </c>
      <c r="C93" s="11" t="s">
        <v>126</v>
      </c>
      <c r="D93" s="11" t="s">
        <v>140</v>
      </c>
      <c r="E93" s="54" t="s">
        <v>151</v>
      </c>
      <c r="F93" s="55"/>
    </row>
    <row r="94" ht="27.75" customHeight="1">
      <c r="A94" s="52">
        <v>46170.0</v>
      </c>
      <c r="B94" s="11" t="s">
        <v>66</v>
      </c>
      <c r="C94" s="11" t="s">
        <v>126</v>
      </c>
      <c r="D94" s="11" t="s">
        <v>132</v>
      </c>
      <c r="E94" s="54" t="s">
        <v>139</v>
      </c>
      <c r="F94" s="55"/>
    </row>
    <row r="95" ht="27.75" customHeight="1">
      <c r="A95" s="52">
        <v>46170.0</v>
      </c>
      <c r="B95" s="11" t="s">
        <v>66</v>
      </c>
      <c r="C95" s="11" t="s">
        <v>128</v>
      </c>
      <c r="D95" s="11" t="s">
        <v>142</v>
      </c>
      <c r="E95" s="54" t="s">
        <v>130</v>
      </c>
      <c r="F95" s="55"/>
    </row>
    <row r="96" ht="27.75" customHeight="1">
      <c r="A96" s="52">
        <v>46170.0</v>
      </c>
      <c r="B96" s="11" t="s">
        <v>66</v>
      </c>
      <c r="C96" s="11" t="s">
        <v>128</v>
      </c>
      <c r="D96" s="11" t="s">
        <v>156</v>
      </c>
      <c r="E96" s="54" t="s">
        <v>130</v>
      </c>
      <c r="F96" s="55"/>
    </row>
    <row r="97" ht="27.75" customHeight="1">
      <c r="A97" s="52">
        <v>46169.0</v>
      </c>
      <c r="B97" s="11" t="s">
        <v>66</v>
      </c>
      <c r="C97" s="11" t="s">
        <v>126</v>
      </c>
      <c r="D97" s="11" t="s">
        <v>150</v>
      </c>
      <c r="E97" s="56"/>
      <c r="F97" s="55"/>
    </row>
    <row r="98" ht="27.75" customHeight="1">
      <c r="A98" s="52">
        <v>46169.0</v>
      </c>
      <c r="B98" s="11" t="s">
        <v>66</v>
      </c>
      <c r="C98" s="11" t="s">
        <v>137</v>
      </c>
      <c r="D98" s="11" t="s">
        <v>165</v>
      </c>
      <c r="E98" s="56"/>
      <c r="F98" s="11">
        <v>30.0</v>
      </c>
    </row>
    <row r="99" ht="27.75" customHeight="1">
      <c r="A99" s="52">
        <v>46169.0</v>
      </c>
      <c r="B99" s="11" t="s">
        <v>66</v>
      </c>
      <c r="C99" s="11" t="s">
        <v>137</v>
      </c>
      <c r="D99" s="11" t="s">
        <v>166</v>
      </c>
      <c r="E99" s="56"/>
      <c r="F99" s="11">
        <v>15.0</v>
      </c>
    </row>
    <row r="100" ht="27.75" customHeight="1">
      <c r="A100" s="52">
        <v>46169.0</v>
      </c>
      <c r="B100" s="11" t="s">
        <v>66</v>
      </c>
      <c r="C100" s="11" t="s">
        <v>137</v>
      </c>
      <c r="D100" s="11" t="s">
        <v>163</v>
      </c>
      <c r="E100" s="56"/>
      <c r="F100" s="11">
        <v>13.0</v>
      </c>
    </row>
    <row r="101" ht="27.75" customHeight="1">
      <c r="A101" s="52">
        <v>46169.0</v>
      </c>
      <c r="B101" s="11" t="s">
        <v>66</v>
      </c>
      <c r="C101" s="11" t="s">
        <v>128</v>
      </c>
      <c r="D101" s="11" t="s">
        <v>164</v>
      </c>
      <c r="E101" s="54" t="s">
        <v>130</v>
      </c>
      <c r="F101" s="55"/>
    </row>
    <row r="102" ht="27.75" customHeight="1">
      <c r="A102" s="52">
        <v>46169.0</v>
      </c>
      <c r="B102" s="11" t="s">
        <v>66</v>
      </c>
      <c r="C102" s="11" t="s">
        <v>128</v>
      </c>
      <c r="D102" s="11" t="s">
        <v>133</v>
      </c>
      <c r="E102" s="54" t="s">
        <v>130</v>
      </c>
      <c r="F102" s="55"/>
    </row>
    <row r="103" ht="27.75" customHeight="1">
      <c r="A103" s="52">
        <v>46169.0</v>
      </c>
      <c r="B103" s="11" t="s">
        <v>66</v>
      </c>
      <c r="C103" s="11" t="s">
        <v>128</v>
      </c>
      <c r="D103" s="11" t="s">
        <v>167</v>
      </c>
      <c r="E103" s="54" t="s">
        <v>130</v>
      </c>
      <c r="F103" s="55"/>
    </row>
    <row r="104" ht="27.75" customHeight="1">
      <c r="A104" s="52">
        <v>46169.0</v>
      </c>
      <c r="B104" s="11" t="s">
        <v>66</v>
      </c>
      <c r="C104" s="11" t="s">
        <v>126</v>
      </c>
      <c r="D104" s="11" t="s">
        <v>168</v>
      </c>
      <c r="E104" s="54" t="s">
        <v>151</v>
      </c>
      <c r="F104" s="55"/>
    </row>
    <row r="105" ht="27.75" customHeight="1">
      <c r="A105" s="52">
        <v>46169.0</v>
      </c>
      <c r="B105" s="11" t="s">
        <v>66</v>
      </c>
      <c r="C105" s="11" t="s">
        <v>126</v>
      </c>
      <c r="D105" s="11" t="s">
        <v>169</v>
      </c>
      <c r="E105" s="54" t="s">
        <v>151</v>
      </c>
      <c r="F105" s="55"/>
    </row>
    <row r="106" ht="27.75" customHeight="1">
      <c r="A106" s="52">
        <v>46168.0</v>
      </c>
      <c r="B106" s="11" t="s">
        <v>66</v>
      </c>
      <c r="C106" s="11" t="s">
        <v>126</v>
      </c>
      <c r="D106" s="11" t="s">
        <v>170</v>
      </c>
      <c r="E106" s="54" t="s">
        <v>139</v>
      </c>
      <c r="F106" s="55"/>
    </row>
    <row r="107" ht="27.75" customHeight="1">
      <c r="A107" s="52">
        <v>46168.0</v>
      </c>
      <c r="B107" s="11" t="s">
        <v>66</v>
      </c>
      <c r="C107" s="11" t="s">
        <v>126</v>
      </c>
      <c r="D107" s="11" t="s">
        <v>150</v>
      </c>
      <c r="E107" s="54" t="s">
        <v>151</v>
      </c>
      <c r="F107" s="55"/>
    </row>
    <row r="108" ht="27.75" customHeight="1">
      <c r="A108" s="52">
        <v>46169.0</v>
      </c>
      <c r="B108" s="11" t="s">
        <v>54</v>
      </c>
      <c r="C108" s="11" t="s">
        <v>126</v>
      </c>
      <c r="D108" s="11" t="s">
        <v>140</v>
      </c>
      <c r="E108" s="54" t="s">
        <v>151</v>
      </c>
      <c r="F108" s="55"/>
    </row>
    <row r="109" ht="27.75" customHeight="1">
      <c r="A109" s="52">
        <v>46169.0</v>
      </c>
      <c r="B109" s="11" t="s">
        <v>54</v>
      </c>
      <c r="C109" s="11" t="s">
        <v>126</v>
      </c>
      <c r="D109" s="11" t="s">
        <v>132</v>
      </c>
      <c r="E109" s="54" t="s">
        <v>151</v>
      </c>
      <c r="F109" s="55"/>
    </row>
    <row r="110" ht="27.75" customHeight="1">
      <c r="A110" s="52">
        <v>46169.0</v>
      </c>
      <c r="B110" s="11" t="s">
        <v>54</v>
      </c>
      <c r="C110" s="11" t="s">
        <v>126</v>
      </c>
      <c r="D110" s="11" t="s">
        <v>171</v>
      </c>
      <c r="E110" s="54" t="s">
        <v>151</v>
      </c>
      <c r="F110" s="55"/>
    </row>
    <row r="111" ht="27.75" customHeight="1">
      <c r="A111" s="52">
        <v>46169.0</v>
      </c>
      <c r="B111" s="11" t="s">
        <v>54</v>
      </c>
      <c r="C111" s="11" t="s">
        <v>128</v>
      </c>
      <c r="D111" s="11" t="s">
        <v>142</v>
      </c>
      <c r="E111" s="54" t="s">
        <v>130</v>
      </c>
      <c r="F111" s="55"/>
    </row>
    <row r="112" ht="27.75" customHeight="1">
      <c r="A112" s="52">
        <v>46169.0</v>
      </c>
      <c r="B112" s="11" t="s">
        <v>54</v>
      </c>
      <c r="C112" s="11" t="s">
        <v>128</v>
      </c>
      <c r="D112" s="11" t="s">
        <v>156</v>
      </c>
      <c r="E112" s="54" t="s">
        <v>130</v>
      </c>
      <c r="F112" s="55"/>
    </row>
    <row r="113" ht="27.75" customHeight="1">
      <c r="A113" s="52">
        <v>46165.0</v>
      </c>
      <c r="B113" s="11" t="s">
        <v>54</v>
      </c>
      <c r="C113" s="11" t="s">
        <v>126</v>
      </c>
      <c r="D113" s="11" t="s">
        <v>140</v>
      </c>
      <c r="E113" s="54" t="s">
        <v>151</v>
      </c>
      <c r="F113" s="55"/>
    </row>
    <row r="114" ht="27.75" customHeight="1">
      <c r="A114" s="52">
        <v>46165.0</v>
      </c>
      <c r="B114" s="11" t="s">
        <v>54</v>
      </c>
      <c r="C114" s="11" t="s">
        <v>126</v>
      </c>
      <c r="D114" s="11" t="s">
        <v>132</v>
      </c>
      <c r="E114" s="54" t="s">
        <v>139</v>
      </c>
      <c r="F114" s="55"/>
    </row>
    <row r="115" ht="27.75" customHeight="1">
      <c r="A115" s="52">
        <v>46165.0</v>
      </c>
      <c r="B115" s="11" t="s">
        <v>54</v>
      </c>
      <c r="C115" s="11" t="s">
        <v>126</v>
      </c>
      <c r="D115" s="11" t="s">
        <v>171</v>
      </c>
      <c r="E115" s="54" t="s">
        <v>151</v>
      </c>
      <c r="F115" s="55"/>
    </row>
    <row r="116" ht="27.75" customHeight="1">
      <c r="A116" s="52">
        <v>46165.0</v>
      </c>
      <c r="B116" s="11" t="s">
        <v>54</v>
      </c>
      <c r="C116" s="11" t="s">
        <v>137</v>
      </c>
      <c r="D116" s="11" t="s">
        <v>152</v>
      </c>
      <c r="E116" s="56"/>
      <c r="F116" s="11">
        <v>10.0</v>
      </c>
    </row>
    <row r="117" ht="27.75" customHeight="1">
      <c r="A117" s="52">
        <v>46165.0</v>
      </c>
      <c r="B117" s="11" t="s">
        <v>54</v>
      </c>
      <c r="C117" s="11" t="s">
        <v>137</v>
      </c>
      <c r="D117" s="11" t="s">
        <v>172</v>
      </c>
      <c r="E117" s="56"/>
      <c r="F117" s="11">
        <v>10.0</v>
      </c>
    </row>
    <row r="118" ht="27.75" customHeight="1">
      <c r="A118" s="52">
        <v>46165.0</v>
      </c>
      <c r="B118" s="11" t="s">
        <v>54</v>
      </c>
      <c r="C118" s="11" t="s">
        <v>128</v>
      </c>
      <c r="D118" s="11" t="s">
        <v>156</v>
      </c>
      <c r="E118" s="54" t="s">
        <v>130</v>
      </c>
      <c r="F118" s="55"/>
    </row>
    <row r="119" ht="27.75" customHeight="1">
      <c r="A119" s="52">
        <v>46165.0</v>
      </c>
      <c r="B119" s="11" t="s">
        <v>54</v>
      </c>
      <c r="C119" s="11" t="s">
        <v>128</v>
      </c>
      <c r="D119" s="11" t="s">
        <v>142</v>
      </c>
      <c r="E119" s="54" t="s">
        <v>130</v>
      </c>
      <c r="F119" s="55"/>
    </row>
    <row r="120" ht="27.75" customHeight="1">
      <c r="A120" s="52">
        <v>46167.0</v>
      </c>
      <c r="B120" s="11" t="s">
        <v>66</v>
      </c>
      <c r="C120" s="11" t="s">
        <v>126</v>
      </c>
      <c r="D120" s="11" t="s">
        <v>140</v>
      </c>
      <c r="E120" s="54" t="s">
        <v>151</v>
      </c>
      <c r="F120" s="55"/>
    </row>
    <row r="121" ht="27.75" customHeight="1">
      <c r="A121" s="52">
        <v>46167.0</v>
      </c>
      <c r="B121" s="11" t="s">
        <v>66</v>
      </c>
      <c r="C121" s="11" t="s">
        <v>126</v>
      </c>
      <c r="D121" s="11" t="s">
        <v>132</v>
      </c>
      <c r="E121" s="54" t="s">
        <v>139</v>
      </c>
      <c r="F121" s="55"/>
    </row>
    <row r="122" ht="27.75" customHeight="1">
      <c r="A122" s="52">
        <v>46167.0</v>
      </c>
      <c r="B122" s="11" t="s">
        <v>66</v>
      </c>
      <c r="C122" s="11" t="s">
        <v>137</v>
      </c>
      <c r="D122" s="11" t="s">
        <v>173</v>
      </c>
      <c r="E122" s="56"/>
      <c r="F122" s="11">
        <v>25.0</v>
      </c>
    </row>
    <row r="123" ht="27.75" customHeight="1">
      <c r="A123" s="52">
        <v>46167.0</v>
      </c>
      <c r="B123" s="11" t="s">
        <v>66</v>
      </c>
      <c r="C123" s="11" t="s">
        <v>128</v>
      </c>
      <c r="D123" s="11" t="s">
        <v>142</v>
      </c>
      <c r="E123" s="54" t="s">
        <v>130</v>
      </c>
      <c r="F123" s="55"/>
    </row>
    <row r="124" ht="27.75" customHeight="1">
      <c r="A124" s="52">
        <v>46167.0</v>
      </c>
      <c r="B124" s="11" t="s">
        <v>66</v>
      </c>
      <c r="C124" s="11" t="s">
        <v>128</v>
      </c>
      <c r="D124" s="11" t="s">
        <v>156</v>
      </c>
      <c r="E124" s="54" t="s">
        <v>130</v>
      </c>
      <c r="F124" s="55"/>
    </row>
    <row r="125" ht="27.75" customHeight="1">
      <c r="A125" s="52">
        <v>46165.0</v>
      </c>
      <c r="B125" s="11" t="s">
        <v>67</v>
      </c>
      <c r="C125" s="11" t="s">
        <v>137</v>
      </c>
      <c r="D125" s="11" t="s">
        <v>174</v>
      </c>
      <c r="E125" s="56"/>
      <c r="F125" s="11">
        <v>27.0</v>
      </c>
    </row>
    <row r="126" ht="27.75" customHeight="1">
      <c r="A126" s="52">
        <v>46165.0</v>
      </c>
      <c r="B126" s="11" t="s">
        <v>67</v>
      </c>
      <c r="C126" s="11" t="s">
        <v>137</v>
      </c>
      <c r="D126" s="11" t="s">
        <v>175</v>
      </c>
      <c r="E126" s="56"/>
      <c r="F126" s="11">
        <v>27.0</v>
      </c>
    </row>
    <row r="127" ht="27.75" customHeight="1">
      <c r="A127" s="52">
        <v>46165.0</v>
      </c>
      <c r="B127" s="11" t="s">
        <v>67</v>
      </c>
      <c r="C127" s="11" t="s">
        <v>137</v>
      </c>
      <c r="D127" s="11" t="s">
        <v>176</v>
      </c>
      <c r="E127" s="56"/>
      <c r="F127" s="11">
        <v>27.0</v>
      </c>
    </row>
    <row r="128" ht="27.75" customHeight="1">
      <c r="A128" s="52">
        <v>46167.0</v>
      </c>
      <c r="B128" s="11" t="s">
        <v>66</v>
      </c>
      <c r="C128" s="11" t="s">
        <v>126</v>
      </c>
      <c r="D128" s="11" t="s">
        <v>170</v>
      </c>
      <c r="E128" s="54" t="s">
        <v>139</v>
      </c>
      <c r="F128" s="55"/>
    </row>
    <row r="129" ht="27.75" customHeight="1">
      <c r="A129" s="52">
        <v>46163.0</v>
      </c>
      <c r="B129" s="11" t="s">
        <v>67</v>
      </c>
      <c r="C129" s="11" t="s">
        <v>126</v>
      </c>
      <c r="D129" s="11" t="s">
        <v>146</v>
      </c>
      <c r="E129" s="56"/>
      <c r="F129" s="55"/>
    </row>
    <row r="130" ht="27.75" customHeight="1">
      <c r="A130" s="52">
        <v>46163.0</v>
      </c>
      <c r="B130" s="11" t="s">
        <v>67</v>
      </c>
      <c r="C130" s="11" t="s">
        <v>126</v>
      </c>
      <c r="D130" s="11" t="s">
        <v>177</v>
      </c>
      <c r="E130" s="56"/>
      <c r="F130" s="55"/>
    </row>
    <row r="131" ht="27.75" customHeight="1">
      <c r="A131" s="52">
        <v>46163.0</v>
      </c>
      <c r="B131" s="11" t="s">
        <v>54</v>
      </c>
      <c r="C131" s="11" t="s">
        <v>126</v>
      </c>
      <c r="D131" s="11" t="s">
        <v>140</v>
      </c>
      <c r="E131" s="54" t="s">
        <v>151</v>
      </c>
      <c r="F131" s="55"/>
    </row>
    <row r="132" ht="27.75" customHeight="1">
      <c r="A132" s="52">
        <v>46163.0</v>
      </c>
      <c r="B132" s="11" t="s">
        <v>54</v>
      </c>
      <c r="C132" s="11" t="s">
        <v>126</v>
      </c>
      <c r="D132" s="11" t="s">
        <v>132</v>
      </c>
      <c r="E132" s="54" t="s">
        <v>139</v>
      </c>
      <c r="F132" s="55"/>
    </row>
    <row r="133" ht="27.75" customHeight="1">
      <c r="A133" s="52">
        <v>46163.0</v>
      </c>
      <c r="B133" s="11" t="s">
        <v>54</v>
      </c>
      <c r="C133" s="11" t="s">
        <v>128</v>
      </c>
      <c r="D133" s="11" t="s">
        <v>142</v>
      </c>
      <c r="E133" s="54" t="s">
        <v>130</v>
      </c>
      <c r="F133" s="55"/>
    </row>
    <row r="134" ht="27.75" customHeight="1">
      <c r="A134" s="52">
        <v>46163.0</v>
      </c>
      <c r="B134" s="11" t="s">
        <v>54</v>
      </c>
      <c r="C134" s="11" t="s">
        <v>128</v>
      </c>
      <c r="D134" s="11" t="s">
        <v>156</v>
      </c>
      <c r="E134" s="54" t="s">
        <v>130</v>
      </c>
      <c r="F134" s="55"/>
    </row>
    <row r="135" ht="27.75" customHeight="1">
      <c r="A135" s="52">
        <v>46163.0</v>
      </c>
      <c r="B135" s="11" t="s">
        <v>66</v>
      </c>
      <c r="C135" s="11" t="s">
        <v>126</v>
      </c>
      <c r="D135" s="11" t="s">
        <v>178</v>
      </c>
      <c r="E135" s="54" t="s">
        <v>130</v>
      </c>
      <c r="F135" s="55"/>
    </row>
    <row r="136" ht="27.75" customHeight="1">
      <c r="A136" s="52">
        <v>46163.0</v>
      </c>
      <c r="B136" s="11" t="s">
        <v>66</v>
      </c>
      <c r="C136" s="11" t="s">
        <v>128</v>
      </c>
      <c r="D136" s="11" t="s">
        <v>135</v>
      </c>
      <c r="E136" s="54" t="s">
        <v>130</v>
      </c>
      <c r="F136" s="55"/>
    </row>
    <row r="137" ht="27.75" customHeight="1">
      <c r="A137" s="52">
        <v>46163.0</v>
      </c>
      <c r="B137" s="11" t="s">
        <v>66</v>
      </c>
      <c r="C137" s="11" t="s">
        <v>128</v>
      </c>
      <c r="D137" s="11" t="s">
        <v>179</v>
      </c>
      <c r="E137" s="54" t="s">
        <v>130</v>
      </c>
      <c r="F137" s="55"/>
    </row>
    <row r="138" ht="27.75" customHeight="1">
      <c r="A138" s="52">
        <v>46163.0</v>
      </c>
      <c r="B138" s="11" t="s">
        <v>66</v>
      </c>
      <c r="C138" s="11" t="s">
        <v>128</v>
      </c>
      <c r="D138" s="11" t="s">
        <v>180</v>
      </c>
      <c r="E138" s="54" t="s">
        <v>130</v>
      </c>
      <c r="F138" s="55"/>
    </row>
    <row r="139" ht="27.75" customHeight="1">
      <c r="A139" s="52">
        <v>46163.0</v>
      </c>
      <c r="B139" s="11" t="s">
        <v>66</v>
      </c>
      <c r="C139" s="11" t="s">
        <v>128</v>
      </c>
      <c r="D139" s="11" t="s">
        <v>133</v>
      </c>
      <c r="E139" s="54" t="s">
        <v>130</v>
      </c>
      <c r="F139" s="55"/>
    </row>
    <row r="140" ht="27.75" customHeight="1">
      <c r="A140" s="52">
        <v>46161.0</v>
      </c>
      <c r="B140" s="11" t="s">
        <v>66</v>
      </c>
      <c r="C140" s="11" t="s">
        <v>126</v>
      </c>
      <c r="D140" s="11" t="s">
        <v>140</v>
      </c>
      <c r="E140" s="54" t="s">
        <v>151</v>
      </c>
      <c r="F140" s="55"/>
    </row>
    <row r="141" ht="27.75" customHeight="1">
      <c r="A141" s="52">
        <v>46161.0</v>
      </c>
      <c r="B141" s="11" t="s">
        <v>66</v>
      </c>
      <c r="C141" s="11" t="s">
        <v>126</v>
      </c>
      <c r="D141" s="11" t="s">
        <v>181</v>
      </c>
      <c r="E141" s="54" t="s">
        <v>139</v>
      </c>
      <c r="F141" s="55"/>
    </row>
    <row r="142" ht="27.75" customHeight="1">
      <c r="A142" s="52">
        <v>46161.0</v>
      </c>
      <c r="B142" s="11" t="s">
        <v>66</v>
      </c>
      <c r="C142" s="11" t="s">
        <v>128</v>
      </c>
      <c r="D142" s="11" t="s">
        <v>156</v>
      </c>
      <c r="E142" s="54" t="s">
        <v>130</v>
      </c>
      <c r="F142" s="55"/>
    </row>
    <row r="143" ht="27.75" customHeight="1">
      <c r="A143" s="52">
        <v>46161.0</v>
      </c>
      <c r="B143" s="11" t="s">
        <v>66</v>
      </c>
      <c r="C143" s="11" t="s">
        <v>128</v>
      </c>
      <c r="D143" s="11" t="s">
        <v>142</v>
      </c>
      <c r="E143" s="54" t="s">
        <v>130</v>
      </c>
      <c r="F143" s="55"/>
    </row>
    <row r="144" ht="27.75" customHeight="1">
      <c r="A144" s="52">
        <v>46160.0</v>
      </c>
      <c r="B144" s="11" t="s">
        <v>66</v>
      </c>
      <c r="C144" s="11" t="s">
        <v>128</v>
      </c>
      <c r="D144" s="11" t="s">
        <v>135</v>
      </c>
      <c r="E144" s="54" t="s">
        <v>130</v>
      </c>
      <c r="F144" s="55"/>
    </row>
    <row r="145" ht="27.75" customHeight="1">
      <c r="A145" s="52">
        <v>46160.0</v>
      </c>
      <c r="B145" s="11" t="s">
        <v>66</v>
      </c>
      <c r="C145" s="11" t="s">
        <v>128</v>
      </c>
      <c r="D145" s="11" t="s">
        <v>180</v>
      </c>
      <c r="E145" s="54" t="s">
        <v>130</v>
      </c>
      <c r="F145" s="55"/>
    </row>
    <row r="146" ht="27.75" customHeight="1">
      <c r="A146" s="52">
        <v>46160.0</v>
      </c>
      <c r="B146" s="11" t="s">
        <v>66</v>
      </c>
      <c r="C146" s="11" t="s">
        <v>128</v>
      </c>
      <c r="D146" s="11" t="s">
        <v>182</v>
      </c>
      <c r="E146" s="54" t="s">
        <v>130</v>
      </c>
      <c r="F146" s="55"/>
    </row>
    <row r="147" ht="27.75" customHeight="1">
      <c r="A147" s="52">
        <v>46160.0</v>
      </c>
      <c r="B147" s="11" t="s">
        <v>66</v>
      </c>
      <c r="C147" s="11" t="s">
        <v>128</v>
      </c>
      <c r="D147" s="11" t="s">
        <v>179</v>
      </c>
      <c r="E147" s="54" t="s">
        <v>130</v>
      </c>
      <c r="F147" s="55"/>
    </row>
    <row r="148" ht="27.75" customHeight="1">
      <c r="A148" s="52">
        <v>46160.0</v>
      </c>
      <c r="B148" s="11" t="s">
        <v>66</v>
      </c>
      <c r="C148" s="11" t="s">
        <v>128</v>
      </c>
      <c r="D148" s="11" t="s">
        <v>183</v>
      </c>
      <c r="E148" s="54" t="s">
        <v>130</v>
      </c>
      <c r="F148" s="55"/>
    </row>
    <row r="149" ht="27.75" customHeight="1">
      <c r="A149" s="52">
        <v>46160.0</v>
      </c>
      <c r="B149" s="11" t="s">
        <v>66</v>
      </c>
      <c r="C149" s="11" t="s">
        <v>128</v>
      </c>
      <c r="D149" s="11" t="s">
        <v>184</v>
      </c>
      <c r="E149" s="54" t="s">
        <v>130</v>
      </c>
      <c r="F149" s="55"/>
    </row>
    <row r="150" ht="27.75" customHeight="1">
      <c r="A150" s="52">
        <v>46151.0</v>
      </c>
      <c r="B150" s="11" t="s">
        <v>67</v>
      </c>
      <c r="C150" s="11" t="s">
        <v>126</v>
      </c>
      <c r="D150" s="11" t="s">
        <v>146</v>
      </c>
      <c r="E150" s="54" t="s">
        <v>151</v>
      </c>
      <c r="F150" s="55"/>
    </row>
    <row r="151" ht="27.75" customHeight="1">
      <c r="A151" s="52">
        <v>46151.0</v>
      </c>
      <c r="B151" s="11" t="s">
        <v>54</v>
      </c>
      <c r="C151" s="11" t="s">
        <v>126</v>
      </c>
      <c r="D151" s="11" t="s">
        <v>140</v>
      </c>
      <c r="E151" s="54" t="s">
        <v>151</v>
      </c>
      <c r="F151" s="55"/>
    </row>
    <row r="152" ht="27.75" customHeight="1">
      <c r="A152" s="52">
        <v>46151.0</v>
      </c>
      <c r="B152" s="11" t="s">
        <v>54</v>
      </c>
      <c r="C152" s="11" t="s">
        <v>126</v>
      </c>
      <c r="D152" s="11" t="s">
        <v>171</v>
      </c>
      <c r="E152" s="54" t="s">
        <v>151</v>
      </c>
      <c r="F152" s="55"/>
    </row>
    <row r="153" ht="27.75" customHeight="1">
      <c r="A153" s="52">
        <v>46151.0</v>
      </c>
      <c r="B153" s="11" t="s">
        <v>54</v>
      </c>
      <c r="C153" s="11" t="s">
        <v>126</v>
      </c>
      <c r="D153" s="11" t="s">
        <v>185</v>
      </c>
      <c r="E153" s="54" t="s">
        <v>159</v>
      </c>
      <c r="F153" s="55"/>
    </row>
    <row r="154" ht="27.75" customHeight="1">
      <c r="A154" s="52">
        <v>46151.0</v>
      </c>
      <c r="B154" s="11" t="s">
        <v>54</v>
      </c>
      <c r="C154" s="11" t="s">
        <v>126</v>
      </c>
      <c r="D154" s="11" t="s">
        <v>186</v>
      </c>
      <c r="E154" s="54" t="s">
        <v>151</v>
      </c>
      <c r="F154" s="55"/>
    </row>
    <row r="155" ht="27.75" customHeight="1">
      <c r="A155" s="52">
        <v>46151.0</v>
      </c>
      <c r="B155" s="11" t="s">
        <v>54</v>
      </c>
      <c r="C155" s="11" t="s">
        <v>137</v>
      </c>
      <c r="D155" s="11" t="s">
        <v>152</v>
      </c>
      <c r="E155" s="56"/>
      <c r="F155" s="11">
        <v>30.0</v>
      </c>
    </row>
    <row r="156" ht="27.75" customHeight="1">
      <c r="A156" s="52">
        <v>46151.0</v>
      </c>
      <c r="B156" s="11" t="s">
        <v>54</v>
      </c>
      <c r="C156" s="11" t="s">
        <v>128</v>
      </c>
      <c r="D156" s="11" t="s">
        <v>187</v>
      </c>
      <c r="E156" s="54" t="s">
        <v>130</v>
      </c>
      <c r="F156" s="55"/>
    </row>
    <row r="157" ht="27.75" customHeight="1">
      <c r="A157" s="52">
        <v>46151.0</v>
      </c>
      <c r="B157" s="11" t="s">
        <v>54</v>
      </c>
      <c r="C157" s="11" t="s">
        <v>128</v>
      </c>
      <c r="D157" s="11" t="s">
        <v>156</v>
      </c>
      <c r="E157" s="54" t="s">
        <v>130</v>
      </c>
      <c r="F157" s="55"/>
    </row>
    <row r="158" ht="27.75" customHeight="1">
      <c r="A158" s="52">
        <v>46151.0</v>
      </c>
      <c r="B158" s="11" t="s">
        <v>54</v>
      </c>
      <c r="C158" s="11" t="s">
        <v>128</v>
      </c>
      <c r="D158" s="11" t="s">
        <v>142</v>
      </c>
      <c r="E158" s="54" t="s">
        <v>130</v>
      </c>
      <c r="F158" s="55"/>
    </row>
    <row r="159" ht="27.75" customHeight="1">
      <c r="A159" s="52">
        <v>46151.0</v>
      </c>
      <c r="B159" s="11" t="s">
        <v>54</v>
      </c>
      <c r="C159" s="11" t="s">
        <v>128</v>
      </c>
      <c r="D159" s="11" t="s">
        <v>132</v>
      </c>
      <c r="E159" s="54" t="s">
        <v>130</v>
      </c>
      <c r="F159" s="55"/>
    </row>
    <row r="160" ht="27.75" customHeight="1">
      <c r="A160" s="52">
        <v>46150.0</v>
      </c>
      <c r="B160" s="11" t="s">
        <v>54</v>
      </c>
      <c r="C160" s="11" t="s">
        <v>126</v>
      </c>
      <c r="D160" s="11" t="s">
        <v>186</v>
      </c>
      <c r="E160" s="54" t="s">
        <v>151</v>
      </c>
      <c r="F160" s="55"/>
    </row>
    <row r="161" ht="27.75" customHeight="1">
      <c r="A161" s="52">
        <v>46150.0</v>
      </c>
      <c r="B161" s="11" t="s">
        <v>54</v>
      </c>
      <c r="C161" s="11" t="s">
        <v>128</v>
      </c>
      <c r="D161" s="11" t="s">
        <v>187</v>
      </c>
      <c r="E161" s="56"/>
      <c r="F161" s="55"/>
    </row>
    <row r="162" ht="27.75" customHeight="1">
      <c r="A162" s="52">
        <v>46150.0</v>
      </c>
      <c r="B162" s="11" t="s">
        <v>54</v>
      </c>
      <c r="C162" s="11" t="s">
        <v>128</v>
      </c>
      <c r="D162" s="11" t="s">
        <v>156</v>
      </c>
      <c r="E162" s="56"/>
      <c r="F162" s="55"/>
    </row>
    <row r="163" ht="27.75" customHeight="1">
      <c r="A163" s="52">
        <v>46150.0</v>
      </c>
      <c r="B163" s="11" t="s">
        <v>54</v>
      </c>
      <c r="C163" s="11" t="s">
        <v>128</v>
      </c>
      <c r="D163" s="11" t="s">
        <v>142</v>
      </c>
      <c r="E163" s="56"/>
      <c r="F163" s="55"/>
    </row>
    <row r="164" ht="27.75" customHeight="1">
      <c r="A164" s="52">
        <v>46150.0</v>
      </c>
      <c r="B164" s="11" t="s">
        <v>67</v>
      </c>
      <c r="C164" s="11" t="s">
        <v>126</v>
      </c>
      <c r="D164" s="11" t="s">
        <v>146</v>
      </c>
      <c r="E164" s="56"/>
      <c r="F164" s="55"/>
    </row>
    <row r="165" ht="27.75" customHeight="1">
      <c r="A165" s="52">
        <v>46150.0</v>
      </c>
      <c r="B165" s="11" t="s">
        <v>67</v>
      </c>
      <c r="C165" s="11" t="s">
        <v>126</v>
      </c>
      <c r="D165" s="11" t="s">
        <v>188</v>
      </c>
      <c r="E165" s="56"/>
      <c r="F165" s="55"/>
    </row>
    <row r="166" ht="27.75" customHeight="1">
      <c r="A166" s="52">
        <v>46149.0</v>
      </c>
      <c r="B166" s="11" t="s">
        <v>66</v>
      </c>
      <c r="C166" s="11" t="s">
        <v>128</v>
      </c>
      <c r="D166" s="11" t="s">
        <v>133</v>
      </c>
      <c r="E166" s="54" t="s">
        <v>130</v>
      </c>
      <c r="F166" s="55"/>
    </row>
    <row r="167" ht="27.75" customHeight="1">
      <c r="A167" s="52">
        <v>46149.0</v>
      </c>
      <c r="B167" s="11" t="s">
        <v>66</v>
      </c>
      <c r="C167" s="11" t="s">
        <v>128</v>
      </c>
      <c r="D167" s="11" t="s">
        <v>189</v>
      </c>
      <c r="E167" s="54" t="s">
        <v>130</v>
      </c>
      <c r="F167" s="55"/>
    </row>
    <row r="168" ht="27.75" customHeight="1">
      <c r="A168" s="52">
        <v>46149.0</v>
      </c>
      <c r="B168" s="11" t="s">
        <v>66</v>
      </c>
      <c r="C168" s="11" t="s">
        <v>128</v>
      </c>
      <c r="D168" s="11" t="s">
        <v>184</v>
      </c>
      <c r="E168" s="54" t="s">
        <v>130</v>
      </c>
      <c r="F168" s="55"/>
    </row>
    <row r="169" ht="27.75" customHeight="1">
      <c r="A169" s="52">
        <v>46149.0</v>
      </c>
      <c r="B169" s="11" t="s">
        <v>66</v>
      </c>
      <c r="C169" s="11" t="s">
        <v>128</v>
      </c>
      <c r="D169" s="11" t="s">
        <v>135</v>
      </c>
      <c r="E169" s="54" t="s">
        <v>130</v>
      </c>
      <c r="F169" s="55"/>
    </row>
    <row r="170" ht="27.75" customHeight="1">
      <c r="A170" s="52">
        <v>46149.0</v>
      </c>
      <c r="B170" s="11" t="s">
        <v>66</v>
      </c>
      <c r="C170" s="11" t="s">
        <v>128</v>
      </c>
      <c r="D170" s="11" t="s">
        <v>190</v>
      </c>
      <c r="E170" s="54" t="s">
        <v>130</v>
      </c>
      <c r="F170" s="55"/>
    </row>
    <row r="171" ht="27.75" customHeight="1">
      <c r="A171" s="52">
        <v>46149.0</v>
      </c>
      <c r="B171" s="11" t="s">
        <v>67</v>
      </c>
      <c r="C171" s="11" t="s">
        <v>126</v>
      </c>
      <c r="D171" s="11" t="s">
        <v>191</v>
      </c>
      <c r="E171" s="54" t="s">
        <v>159</v>
      </c>
      <c r="F171" s="55"/>
    </row>
    <row r="172" ht="27.75" customHeight="1">
      <c r="A172" s="52">
        <v>46149.0</v>
      </c>
      <c r="B172" s="11" t="s">
        <v>54</v>
      </c>
      <c r="C172" s="11" t="s">
        <v>126</v>
      </c>
      <c r="D172" s="11" t="s">
        <v>140</v>
      </c>
      <c r="E172" s="54" t="s">
        <v>151</v>
      </c>
      <c r="F172" s="55"/>
    </row>
    <row r="173" ht="27.75" customHeight="1">
      <c r="A173" s="52">
        <v>46149.0</v>
      </c>
      <c r="B173" s="11" t="s">
        <v>54</v>
      </c>
      <c r="C173" s="11" t="s">
        <v>126</v>
      </c>
      <c r="D173" s="11" t="s">
        <v>132</v>
      </c>
      <c r="E173" s="56"/>
      <c r="F173" s="55"/>
    </row>
    <row r="174" ht="27.75" customHeight="1">
      <c r="A174" s="52">
        <v>46149.0</v>
      </c>
      <c r="B174" s="11" t="s">
        <v>54</v>
      </c>
      <c r="C174" s="11" t="s">
        <v>128</v>
      </c>
      <c r="D174" s="11" t="s">
        <v>187</v>
      </c>
      <c r="E174" s="54" t="s">
        <v>130</v>
      </c>
      <c r="F174" s="55"/>
    </row>
    <row r="175" ht="27.75" customHeight="1">
      <c r="A175" s="52">
        <v>46149.0</v>
      </c>
      <c r="B175" s="11" t="s">
        <v>54</v>
      </c>
      <c r="C175" s="11" t="s">
        <v>128</v>
      </c>
      <c r="D175" s="11" t="s">
        <v>156</v>
      </c>
      <c r="E175" s="54" t="s">
        <v>130</v>
      </c>
      <c r="F175" s="55"/>
    </row>
    <row r="176" ht="27.75" customHeight="1">
      <c r="A176" s="52">
        <v>46146.0</v>
      </c>
      <c r="B176" s="11" t="s">
        <v>54</v>
      </c>
      <c r="C176" s="11" t="s">
        <v>126</v>
      </c>
      <c r="D176" s="11" t="s">
        <v>140</v>
      </c>
      <c r="E176" s="54" t="s">
        <v>139</v>
      </c>
      <c r="F176" s="55"/>
    </row>
    <row r="177" ht="27.75" customHeight="1">
      <c r="A177" s="52">
        <v>46146.0</v>
      </c>
      <c r="B177" s="11" t="s">
        <v>54</v>
      </c>
      <c r="C177" s="11" t="s">
        <v>126</v>
      </c>
      <c r="D177" s="11" t="s">
        <v>132</v>
      </c>
      <c r="E177" s="54" t="s">
        <v>151</v>
      </c>
      <c r="F177" s="55"/>
    </row>
    <row r="178" ht="27.75" customHeight="1">
      <c r="A178" s="52">
        <v>46146.0</v>
      </c>
      <c r="B178" s="11" t="s">
        <v>54</v>
      </c>
      <c r="C178" s="11" t="s">
        <v>128</v>
      </c>
      <c r="D178" s="11" t="s">
        <v>187</v>
      </c>
      <c r="E178" s="54" t="s">
        <v>130</v>
      </c>
      <c r="F178" s="55"/>
    </row>
    <row r="179" ht="27.75" customHeight="1">
      <c r="A179" s="52">
        <v>46146.0</v>
      </c>
      <c r="B179" s="11" t="s">
        <v>54</v>
      </c>
      <c r="C179" s="11" t="s">
        <v>128</v>
      </c>
      <c r="D179" s="11" t="s">
        <v>156</v>
      </c>
      <c r="E179" s="54" t="s">
        <v>130</v>
      </c>
      <c r="F179" s="55"/>
    </row>
  </sheetData>
  <mergeCells count="3">
    <mergeCell ref="A1:F1"/>
    <mergeCell ref="A2:F2"/>
    <mergeCell ref="A3:F3"/>
  </mergeCells>
  <dataValidations>
    <dataValidation type="list" allowBlank="1" sqref="C5:C49">
      <formula1>"absence,retard,EPI manquant"</formula1>
    </dataValidation>
  </dataValidations>
  <printOptions/>
  <pageMargins bottom="1.0" footer="0.0" header="0.0" left="0.75" right="0.75" top="1.0"/>
  <pageSetup paperSize="9" orientation="portrait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12.0"/>
    <col customWidth="1" min="2" max="2" width="9.0"/>
    <col customWidth="1" min="3" max="3" width="12.0"/>
    <col customWidth="1" min="4" max="4" width="78.0"/>
    <col customWidth="1" min="5" max="11" width="8.57"/>
  </cols>
  <sheetData>
    <row r="1" ht="18.0" customHeight="1">
      <c r="A1" s="1" t="s">
        <v>192</v>
      </c>
    </row>
    <row r="2" ht="24.0" customHeight="1">
      <c r="A2" s="30" t="s">
        <v>193</v>
      </c>
      <c r="B2" s="31"/>
      <c r="C2" s="31"/>
      <c r="D2" s="32"/>
    </row>
    <row r="3" ht="21.75" customHeight="1">
      <c r="A3" s="10" t="s">
        <v>194</v>
      </c>
    </row>
    <row r="4" ht="31.5" customHeight="1">
      <c r="A4" s="7" t="s">
        <v>43</v>
      </c>
      <c r="B4" s="7" t="s">
        <v>44</v>
      </c>
      <c r="C4" s="7" t="s">
        <v>195</v>
      </c>
      <c r="D4" s="7" t="s">
        <v>196</v>
      </c>
    </row>
    <row r="5" ht="39.75" customHeight="1">
      <c r="A5" s="52">
        <v>46147.0</v>
      </c>
      <c r="B5" s="11" t="s">
        <v>54</v>
      </c>
      <c r="C5" s="11">
        <v>4.0</v>
      </c>
      <c r="D5" s="54" t="s">
        <v>197</v>
      </c>
    </row>
    <row r="6" ht="39.75" customHeight="1">
      <c r="A6" s="52">
        <v>46147.0</v>
      </c>
      <c r="B6" s="11" t="s">
        <v>54</v>
      </c>
      <c r="C6" s="11">
        <v>4.0</v>
      </c>
      <c r="D6" s="53"/>
    </row>
    <row r="7" ht="39.75" customHeight="1">
      <c r="A7" s="52">
        <v>46147.0</v>
      </c>
      <c r="B7" s="11" t="s">
        <v>54</v>
      </c>
      <c r="C7" s="11">
        <v>4.0</v>
      </c>
      <c r="D7" s="53"/>
    </row>
    <row r="8" ht="39.75" customHeight="1">
      <c r="A8" s="52">
        <v>46148.0</v>
      </c>
      <c r="B8" s="11" t="s">
        <v>54</v>
      </c>
      <c r="C8" s="11">
        <v>4.0</v>
      </c>
      <c r="D8" s="53"/>
    </row>
    <row r="9" ht="39.75" customHeight="1">
      <c r="A9" s="52">
        <v>46148.0</v>
      </c>
      <c r="B9" s="11" t="s">
        <v>54</v>
      </c>
      <c r="C9" s="11">
        <v>4.0</v>
      </c>
      <c r="D9" s="53"/>
    </row>
    <row r="10" ht="39.75" customHeight="1">
      <c r="A10" s="52">
        <v>46148.0</v>
      </c>
      <c r="B10" s="11" t="s">
        <v>54</v>
      </c>
      <c r="C10" s="11">
        <v>4.0</v>
      </c>
      <c r="D10" s="53"/>
    </row>
    <row r="11" ht="39.75" customHeight="1">
      <c r="A11" s="52">
        <v>46148.0</v>
      </c>
      <c r="B11" s="11" t="s">
        <v>66</v>
      </c>
      <c r="C11" s="11">
        <v>4.0</v>
      </c>
      <c r="D11" s="54" t="s">
        <v>198</v>
      </c>
    </row>
    <row r="12" ht="39.75" customHeight="1">
      <c r="A12" s="52">
        <v>46148.0</v>
      </c>
      <c r="B12" s="11" t="s">
        <v>66</v>
      </c>
      <c r="C12" s="11">
        <v>4.0</v>
      </c>
      <c r="D12" s="53"/>
    </row>
    <row r="13" ht="39.75" customHeight="1">
      <c r="A13" s="52">
        <v>46148.0</v>
      </c>
      <c r="B13" s="11" t="s">
        <v>66</v>
      </c>
      <c r="C13" s="11">
        <v>4.0</v>
      </c>
      <c r="D13" s="53"/>
    </row>
    <row r="14" ht="39.75" customHeight="1">
      <c r="A14" s="52">
        <v>46148.0</v>
      </c>
      <c r="B14" s="11" t="s">
        <v>54</v>
      </c>
      <c r="C14" s="11">
        <v>4.0</v>
      </c>
      <c r="D14" s="53"/>
    </row>
    <row r="15" ht="39.75" customHeight="1">
      <c r="A15" s="52">
        <v>46148.0</v>
      </c>
      <c r="B15" s="11" t="s">
        <v>54</v>
      </c>
      <c r="C15" s="11">
        <v>4.0</v>
      </c>
      <c r="D15" s="54" t="s">
        <v>199</v>
      </c>
    </row>
    <row r="16" ht="39.75" customHeight="1">
      <c r="A16" s="52">
        <v>46148.0</v>
      </c>
      <c r="B16" s="11" t="s">
        <v>54</v>
      </c>
      <c r="C16" s="11">
        <v>4.0</v>
      </c>
      <c r="D16" s="53"/>
    </row>
    <row r="17" ht="39.75" customHeight="1">
      <c r="A17" s="52">
        <v>46149.0</v>
      </c>
      <c r="B17" s="11" t="s">
        <v>67</v>
      </c>
      <c r="C17" s="11">
        <v>4.0</v>
      </c>
      <c r="D17" s="53"/>
    </row>
    <row r="18" ht="39.75" customHeight="1">
      <c r="A18" s="52">
        <v>46149.0</v>
      </c>
      <c r="B18" s="11" t="s">
        <v>67</v>
      </c>
      <c r="C18" s="11">
        <v>4.0</v>
      </c>
      <c r="D18" s="53"/>
    </row>
    <row r="19" ht="39.75" customHeight="1">
      <c r="A19" s="52">
        <v>46149.0</v>
      </c>
      <c r="B19" s="11" t="s">
        <v>66</v>
      </c>
      <c r="C19" s="11">
        <v>4.0</v>
      </c>
      <c r="D19" s="53"/>
    </row>
    <row r="20" ht="39.75" customHeight="1">
      <c r="A20" s="52">
        <v>46149.0</v>
      </c>
      <c r="B20" s="11" t="s">
        <v>66</v>
      </c>
      <c r="C20" s="11">
        <v>4.0</v>
      </c>
      <c r="D20" s="53"/>
    </row>
    <row r="21" ht="39.75" customHeight="1">
      <c r="A21" s="52">
        <v>46149.0</v>
      </c>
      <c r="B21" s="11" t="s">
        <v>66</v>
      </c>
      <c r="C21" s="11">
        <v>4.0</v>
      </c>
      <c r="D21" s="53"/>
    </row>
    <row r="22" ht="39.75" customHeight="1">
      <c r="A22" s="52">
        <v>46149.0</v>
      </c>
      <c r="B22" s="11" t="s">
        <v>66</v>
      </c>
      <c r="C22" s="11">
        <v>4.0</v>
      </c>
      <c r="D22" s="53"/>
    </row>
    <row r="23" ht="39.75" customHeight="1">
      <c r="A23" s="52">
        <v>46149.0</v>
      </c>
      <c r="B23" s="11" t="s">
        <v>54</v>
      </c>
      <c r="C23" s="11">
        <v>4.0</v>
      </c>
      <c r="D23" s="53"/>
    </row>
    <row r="24" ht="39.75" customHeight="1">
      <c r="A24" s="52">
        <v>46149.0</v>
      </c>
      <c r="B24" s="11" t="s">
        <v>54</v>
      </c>
      <c r="C24" s="11">
        <v>4.0</v>
      </c>
      <c r="D24" s="53"/>
    </row>
    <row r="25" ht="39.75" customHeight="1">
      <c r="A25" s="52">
        <v>46149.0</v>
      </c>
      <c r="B25" s="11" t="s">
        <v>54</v>
      </c>
      <c r="C25" s="11">
        <v>4.0</v>
      </c>
      <c r="D25" s="54" t="s">
        <v>200</v>
      </c>
    </row>
    <row r="26" ht="39.75" customHeight="1">
      <c r="A26" s="52">
        <v>46149.0</v>
      </c>
      <c r="B26" s="11" t="s">
        <v>54</v>
      </c>
      <c r="C26" s="11">
        <v>4.0</v>
      </c>
      <c r="D26" s="53"/>
    </row>
    <row r="27" ht="39.75" customHeight="1">
      <c r="A27" s="52">
        <v>46150.0</v>
      </c>
      <c r="B27" s="11" t="s">
        <v>67</v>
      </c>
      <c r="C27" s="11">
        <v>4.0</v>
      </c>
      <c r="D27" s="53"/>
    </row>
    <row r="28" ht="39.75" customHeight="1">
      <c r="A28" s="52">
        <v>46150.0</v>
      </c>
      <c r="B28" s="11" t="s">
        <v>67</v>
      </c>
      <c r="C28" s="11">
        <v>4.0</v>
      </c>
      <c r="D28" s="53"/>
    </row>
    <row r="29" ht="39.75" customHeight="1">
      <c r="A29" s="52">
        <v>46150.0</v>
      </c>
      <c r="B29" s="11" t="s">
        <v>67</v>
      </c>
      <c r="C29" s="11">
        <v>4.0</v>
      </c>
      <c r="D29" s="53"/>
    </row>
    <row r="30" ht="39.75" customHeight="1">
      <c r="A30" s="52">
        <v>46150.0</v>
      </c>
      <c r="B30" s="11" t="s">
        <v>66</v>
      </c>
      <c r="C30" s="11">
        <v>4.0</v>
      </c>
      <c r="D30" s="53"/>
    </row>
    <row r="31" ht="39.75" customHeight="1">
      <c r="A31" s="52">
        <v>46150.0</v>
      </c>
      <c r="B31" s="11" t="s">
        <v>66</v>
      </c>
      <c r="C31" s="11">
        <v>4.0</v>
      </c>
      <c r="D31" s="53"/>
    </row>
    <row r="32" ht="39.75" customHeight="1">
      <c r="A32" s="52">
        <v>46150.0</v>
      </c>
      <c r="B32" s="11" t="s">
        <v>66</v>
      </c>
      <c r="C32" s="11">
        <v>4.0</v>
      </c>
      <c r="D32" s="53"/>
    </row>
    <row r="33" ht="39.75" customHeight="1">
      <c r="A33" s="52">
        <v>46150.0</v>
      </c>
      <c r="B33" s="11" t="s">
        <v>66</v>
      </c>
      <c r="C33" s="11">
        <v>4.0</v>
      </c>
      <c r="D33" s="53"/>
    </row>
    <row r="34" ht="39.75" customHeight="1">
      <c r="A34" s="52">
        <v>46150.0</v>
      </c>
      <c r="B34" s="11" t="s">
        <v>54</v>
      </c>
      <c r="C34" s="11">
        <v>4.0</v>
      </c>
      <c r="D34" s="53"/>
    </row>
    <row r="35" ht="39.75" customHeight="1">
      <c r="A35" s="52">
        <v>46150.0</v>
      </c>
      <c r="B35" s="11" t="s">
        <v>54</v>
      </c>
      <c r="C35" s="11">
        <v>4.0</v>
      </c>
      <c r="D35" s="53"/>
    </row>
    <row r="36" ht="39.75" customHeight="1">
      <c r="A36" s="52">
        <v>46150.0</v>
      </c>
      <c r="B36" s="11" t="s">
        <v>54</v>
      </c>
      <c r="C36" s="11">
        <v>4.0</v>
      </c>
      <c r="D36" s="54" t="s">
        <v>201</v>
      </c>
    </row>
    <row r="37" ht="39.75" customHeight="1">
      <c r="A37" s="52">
        <v>46150.0</v>
      </c>
      <c r="B37" s="11" t="s">
        <v>54</v>
      </c>
      <c r="C37" s="11">
        <v>4.0</v>
      </c>
      <c r="D37" s="53"/>
    </row>
    <row r="38" ht="39.75" customHeight="1">
      <c r="A38" s="52">
        <v>46151.0</v>
      </c>
      <c r="B38" s="11" t="s">
        <v>67</v>
      </c>
      <c r="C38" s="11">
        <v>4.0</v>
      </c>
      <c r="D38" s="53"/>
    </row>
    <row r="39" ht="39.75" customHeight="1">
      <c r="A39" s="52">
        <v>46151.0</v>
      </c>
      <c r="B39" s="11" t="s">
        <v>67</v>
      </c>
      <c r="C39" s="11">
        <v>4.0</v>
      </c>
      <c r="D39" s="53"/>
    </row>
    <row r="40" ht="39.75" customHeight="1">
      <c r="A40" s="52">
        <v>46151.0</v>
      </c>
      <c r="B40" s="11" t="s">
        <v>67</v>
      </c>
      <c r="C40" s="11">
        <v>4.0</v>
      </c>
      <c r="D40" s="53"/>
    </row>
    <row r="41" ht="39.75" customHeight="1">
      <c r="A41" s="52">
        <v>46151.0</v>
      </c>
      <c r="B41" s="11" t="s">
        <v>67</v>
      </c>
      <c r="C41" s="11">
        <v>4.0</v>
      </c>
      <c r="D41" s="53"/>
    </row>
    <row r="42" ht="39.75" customHeight="1">
      <c r="A42" s="52">
        <v>46151.0</v>
      </c>
      <c r="B42" s="11" t="s">
        <v>66</v>
      </c>
      <c r="C42" s="11">
        <v>4.0</v>
      </c>
      <c r="D42" s="53"/>
    </row>
    <row r="43" ht="39.75" customHeight="1">
      <c r="A43" s="52">
        <v>46151.0</v>
      </c>
      <c r="B43" s="11" t="s">
        <v>66</v>
      </c>
      <c r="C43" s="11">
        <v>4.0</v>
      </c>
      <c r="D43" s="53"/>
    </row>
    <row r="44" ht="39.75" customHeight="1">
      <c r="A44" s="52">
        <v>46151.0</v>
      </c>
      <c r="B44" s="11" t="s">
        <v>66</v>
      </c>
      <c r="C44" s="11">
        <v>4.0</v>
      </c>
      <c r="D44" s="53"/>
    </row>
    <row r="45" ht="27.75" customHeight="1">
      <c r="A45" s="52">
        <v>46151.0</v>
      </c>
      <c r="B45" s="11" t="s">
        <v>66</v>
      </c>
      <c r="C45" s="11">
        <v>4.0</v>
      </c>
      <c r="D45" s="56"/>
    </row>
    <row r="46" ht="27.75" customHeight="1">
      <c r="A46" s="52">
        <v>46151.0</v>
      </c>
      <c r="B46" s="11" t="s">
        <v>54</v>
      </c>
      <c r="C46" s="11">
        <v>4.0</v>
      </c>
      <c r="D46" s="54" t="s">
        <v>202</v>
      </c>
    </row>
    <row r="47" ht="27.75" customHeight="1">
      <c r="A47" s="52">
        <v>46151.0</v>
      </c>
      <c r="B47" s="11" t="s">
        <v>54</v>
      </c>
      <c r="C47" s="11">
        <v>4.0</v>
      </c>
      <c r="D47" s="56"/>
    </row>
    <row r="48" ht="27.75" customHeight="1">
      <c r="A48" s="52">
        <v>46151.0</v>
      </c>
      <c r="B48" s="11" t="s">
        <v>54</v>
      </c>
      <c r="C48" s="11">
        <v>4.0</v>
      </c>
      <c r="D48" s="56"/>
    </row>
    <row r="49" ht="27.75" customHeight="1">
      <c r="A49" s="52">
        <v>46151.0</v>
      </c>
      <c r="B49" s="11" t="s">
        <v>54</v>
      </c>
      <c r="C49" s="11">
        <v>4.0</v>
      </c>
      <c r="D49" s="56"/>
    </row>
    <row r="50" ht="27.75" customHeight="1">
      <c r="A50" s="52">
        <v>46152.0</v>
      </c>
      <c r="B50" s="11" t="s">
        <v>67</v>
      </c>
      <c r="C50" s="11">
        <v>4.0</v>
      </c>
      <c r="D50" s="56"/>
    </row>
    <row r="51" ht="27.75" customHeight="1">
      <c r="A51" s="52">
        <v>46152.0</v>
      </c>
      <c r="B51" s="11" t="s">
        <v>67</v>
      </c>
      <c r="C51" s="11">
        <v>4.0</v>
      </c>
      <c r="D51" s="56"/>
    </row>
    <row r="52" ht="27.75" customHeight="1">
      <c r="A52" s="52">
        <v>46152.0</v>
      </c>
      <c r="B52" s="11" t="s">
        <v>66</v>
      </c>
      <c r="C52" s="11">
        <v>4.0</v>
      </c>
      <c r="D52" s="56"/>
    </row>
    <row r="53" ht="27.75" customHeight="1">
      <c r="A53" s="52">
        <v>46152.0</v>
      </c>
      <c r="B53" s="11" t="s">
        <v>66</v>
      </c>
      <c r="C53" s="11">
        <v>4.0</v>
      </c>
      <c r="D53" s="56"/>
    </row>
    <row r="54" ht="27.75" customHeight="1">
      <c r="A54" s="52">
        <v>46153.0</v>
      </c>
      <c r="B54" s="11" t="s">
        <v>54</v>
      </c>
      <c r="C54" s="11">
        <v>4.0</v>
      </c>
      <c r="D54" s="56"/>
    </row>
    <row r="55" ht="27.75" customHeight="1">
      <c r="A55" s="52">
        <v>46153.0</v>
      </c>
      <c r="B55" s="11" t="s">
        <v>54</v>
      </c>
      <c r="C55" s="11">
        <v>4.0</v>
      </c>
      <c r="D55" s="56"/>
    </row>
    <row r="56" ht="27.75" customHeight="1">
      <c r="A56" s="52">
        <v>46153.0</v>
      </c>
      <c r="B56" s="11" t="s">
        <v>54</v>
      </c>
      <c r="C56" s="11">
        <v>4.0</v>
      </c>
      <c r="D56" s="56"/>
    </row>
    <row r="57" ht="27.75" customHeight="1">
      <c r="A57" s="52">
        <v>46153.0</v>
      </c>
      <c r="B57" s="11" t="s">
        <v>66</v>
      </c>
      <c r="C57" s="11">
        <v>4.0</v>
      </c>
      <c r="D57" s="56"/>
    </row>
    <row r="58" ht="27.75" customHeight="1">
      <c r="A58" s="52">
        <v>46153.0</v>
      </c>
      <c r="B58" s="11" t="s">
        <v>66</v>
      </c>
      <c r="C58" s="11">
        <v>4.0</v>
      </c>
      <c r="D58" s="56"/>
    </row>
    <row r="59" ht="27.75" customHeight="1">
      <c r="A59" s="52">
        <v>46153.0</v>
      </c>
      <c r="B59" s="11" t="s">
        <v>66</v>
      </c>
      <c r="C59" s="11">
        <v>4.0</v>
      </c>
      <c r="D59" s="56"/>
    </row>
    <row r="60" ht="27.75" customHeight="1">
      <c r="A60" s="52">
        <v>46153.0</v>
      </c>
      <c r="B60" s="11" t="s">
        <v>66</v>
      </c>
      <c r="C60" s="11">
        <v>4.0</v>
      </c>
      <c r="D60" s="56"/>
    </row>
    <row r="61" ht="27.75" customHeight="1">
      <c r="A61" s="52">
        <v>46154.0</v>
      </c>
      <c r="B61" s="11" t="s">
        <v>67</v>
      </c>
      <c r="C61" s="11">
        <v>4.0</v>
      </c>
      <c r="D61" s="56"/>
    </row>
    <row r="62" ht="27.75" customHeight="1">
      <c r="A62" s="52">
        <v>46154.0</v>
      </c>
      <c r="B62" s="11" t="s">
        <v>67</v>
      </c>
      <c r="C62" s="11">
        <v>4.0</v>
      </c>
      <c r="D62" s="56"/>
    </row>
    <row r="63" ht="27.75" customHeight="1">
      <c r="A63" s="52">
        <v>46154.0</v>
      </c>
      <c r="B63" s="11" t="s">
        <v>67</v>
      </c>
      <c r="C63" s="11">
        <v>4.0</v>
      </c>
      <c r="D63" s="56"/>
    </row>
    <row r="64" ht="27.75" customHeight="1">
      <c r="A64" s="52">
        <v>46154.0</v>
      </c>
      <c r="B64" s="11" t="s">
        <v>67</v>
      </c>
      <c r="C64" s="11">
        <v>4.0</v>
      </c>
      <c r="D64" s="56"/>
    </row>
    <row r="65" ht="27.75" customHeight="1">
      <c r="A65" s="52">
        <v>46154.0</v>
      </c>
      <c r="B65" s="11" t="s">
        <v>67</v>
      </c>
      <c r="C65" s="11">
        <v>4.0</v>
      </c>
      <c r="D65" s="56"/>
    </row>
    <row r="66" ht="27.75" customHeight="1">
      <c r="A66" s="52">
        <v>46154.0</v>
      </c>
      <c r="B66" s="11" t="s">
        <v>67</v>
      </c>
      <c r="C66" s="11">
        <v>4.0</v>
      </c>
      <c r="D66" s="56"/>
    </row>
    <row r="67" ht="27.75" customHeight="1">
      <c r="A67" s="52">
        <v>46154.0</v>
      </c>
      <c r="B67" s="11" t="s">
        <v>67</v>
      </c>
      <c r="C67" s="11">
        <v>4.0</v>
      </c>
      <c r="D67" s="56"/>
    </row>
    <row r="68" ht="27.75" customHeight="1">
      <c r="A68" s="52">
        <v>46154.0</v>
      </c>
      <c r="B68" s="11" t="s">
        <v>67</v>
      </c>
      <c r="C68" s="11">
        <v>4.0</v>
      </c>
      <c r="D68" s="56"/>
    </row>
    <row r="69" ht="27.75" customHeight="1">
      <c r="A69" s="52">
        <v>46154.0</v>
      </c>
      <c r="B69" s="11" t="s">
        <v>66</v>
      </c>
      <c r="C69" s="11">
        <v>4.0</v>
      </c>
      <c r="D69" s="56"/>
    </row>
    <row r="70" ht="27.75" customHeight="1">
      <c r="A70" s="52">
        <v>46154.0</v>
      </c>
      <c r="B70" s="11" t="s">
        <v>66</v>
      </c>
      <c r="C70" s="11">
        <v>4.0</v>
      </c>
      <c r="D70" s="56"/>
    </row>
    <row r="71" ht="27.75" customHeight="1">
      <c r="A71" s="52">
        <v>46154.0</v>
      </c>
      <c r="B71" s="11" t="s">
        <v>66</v>
      </c>
      <c r="C71" s="11">
        <v>4.0</v>
      </c>
      <c r="D71" s="56"/>
    </row>
    <row r="72" ht="27.75" customHeight="1">
      <c r="A72" s="52">
        <v>46154.0</v>
      </c>
      <c r="B72" s="11" t="s">
        <v>66</v>
      </c>
      <c r="C72" s="11">
        <v>4.0</v>
      </c>
      <c r="D72" s="56"/>
    </row>
    <row r="73" ht="27.75" customHeight="1">
      <c r="A73" s="52">
        <v>46154.0</v>
      </c>
      <c r="B73" s="11" t="s">
        <v>67</v>
      </c>
      <c r="C73" s="11">
        <v>4.0</v>
      </c>
      <c r="D73" s="56"/>
    </row>
    <row r="74" ht="27.75" customHeight="1">
      <c r="A74" s="52">
        <v>46155.0</v>
      </c>
      <c r="B74" s="11" t="s">
        <v>67</v>
      </c>
      <c r="C74" s="11">
        <v>4.0</v>
      </c>
      <c r="D74" s="56"/>
    </row>
    <row r="75" ht="27.75" customHeight="1">
      <c r="A75" s="52">
        <v>46155.0</v>
      </c>
      <c r="B75" s="11" t="s">
        <v>67</v>
      </c>
      <c r="C75" s="11">
        <v>4.0</v>
      </c>
      <c r="D75" s="56"/>
    </row>
    <row r="76" ht="27.75" customHeight="1">
      <c r="A76" s="52">
        <v>46155.0</v>
      </c>
      <c r="B76" s="11" t="s">
        <v>67</v>
      </c>
      <c r="C76" s="11">
        <v>4.0</v>
      </c>
      <c r="D76" s="56"/>
    </row>
    <row r="77" ht="27.75" customHeight="1">
      <c r="A77" s="52">
        <v>46155.0</v>
      </c>
      <c r="B77" s="11" t="s">
        <v>67</v>
      </c>
      <c r="C77" s="11">
        <v>4.0</v>
      </c>
      <c r="D77" s="56"/>
    </row>
    <row r="78" ht="27.75" customHeight="1">
      <c r="A78" s="52">
        <v>46155.0</v>
      </c>
      <c r="B78" s="11" t="s">
        <v>54</v>
      </c>
      <c r="C78" s="11">
        <v>4.0</v>
      </c>
      <c r="D78" s="56"/>
    </row>
    <row r="79" ht="27.75" customHeight="1">
      <c r="A79" s="52">
        <v>46155.0</v>
      </c>
      <c r="B79" s="11" t="s">
        <v>54</v>
      </c>
      <c r="C79" s="11">
        <v>4.0</v>
      </c>
      <c r="D79" s="56"/>
    </row>
    <row r="80" ht="27.75" customHeight="1">
      <c r="A80" s="52">
        <v>46155.0</v>
      </c>
      <c r="B80" s="11" t="s">
        <v>54</v>
      </c>
      <c r="C80" s="11">
        <v>4.0</v>
      </c>
      <c r="D80" s="56"/>
    </row>
    <row r="81" ht="27.75" customHeight="1">
      <c r="A81" s="52">
        <v>46155.0</v>
      </c>
      <c r="B81" s="11" t="s">
        <v>66</v>
      </c>
      <c r="C81" s="11">
        <v>4.0</v>
      </c>
      <c r="D81" s="56"/>
    </row>
    <row r="82" ht="27.75" customHeight="1">
      <c r="A82" s="52">
        <v>46155.0</v>
      </c>
      <c r="B82" s="11" t="s">
        <v>66</v>
      </c>
      <c r="C82" s="11">
        <v>4.0</v>
      </c>
      <c r="D82" s="56"/>
    </row>
    <row r="83" ht="27.75" customHeight="1">
      <c r="A83" s="52">
        <v>46155.0</v>
      </c>
      <c r="B83" s="11" t="s">
        <v>66</v>
      </c>
      <c r="C83" s="11">
        <v>4.0</v>
      </c>
      <c r="D83" s="56"/>
    </row>
    <row r="84" ht="27.75" customHeight="1">
      <c r="A84" s="52">
        <v>46155.0</v>
      </c>
      <c r="B84" s="11" t="s">
        <v>67</v>
      </c>
      <c r="C84" s="11">
        <v>4.0</v>
      </c>
      <c r="D84" s="56"/>
    </row>
    <row r="85" ht="27.75" customHeight="1">
      <c r="A85" s="52">
        <v>46156.0</v>
      </c>
      <c r="B85" s="11" t="s">
        <v>67</v>
      </c>
      <c r="C85" s="11">
        <v>4.0</v>
      </c>
      <c r="D85" s="56"/>
    </row>
    <row r="86" ht="27.75" customHeight="1">
      <c r="A86" s="52">
        <v>46156.0</v>
      </c>
      <c r="B86" s="11" t="s">
        <v>67</v>
      </c>
      <c r="C86" s="11">
        <v>4.0</v>
      </c>
      <c r="D86" s="56"/>
    </row>
    <row r="87" ht="27.75" customHeight="1">
      <c r="A87" s="52">
        <v>46156.0</v>
      </c>
      <c r="B87" s="11" t="s">
        <v>54</v>
      </c>
      <c r="C87" s="11">
        <v>4.0</v>
      </c>
      <c r="D87" s="56"/>
    </row>
    <row r="88" ht="27.75" customHeight="1">
      <c r="A88" s="52">
        <v>46156.0</v>
      </c>
      <c r="B88" s="11" t="s">
        <v>54</v>
      </c>
      <c r="C88" s="11">
        <v>4.0</v>
      </c>
      <c r="D88" s="56"/>
    </row>
    <row r="89" ht="27.75" customHeight="1">
      <c r="A89" s="52">
        <v>46156.0</v>
      </c>
      <c r="B89" s="11" t="s">
        <v>54</v>
      </c>
      <c r="C89" s="11">
        <v>4.0</v>
      </c>
      <c r="D89" s="56"/>
    </row>
    <row r="90" ht="27.75" customHeight="1">
      <c r="A90" s="52">
        <v>46156.0</v>
      </c>
      <c r="B90" s="11" t="s">
        <v>54</v>
      </c>
      <c r="C90" s="11">
        <v>4.0</v>
      </c>
      <c r="D90" s="56"/>
    </row>
    <row r="91" ht="27.75" customHeight="1">
      <c r="A91" s="52">
        <v>46156.0</v>
      </c>
      <c r="B91" s="11" t="s">
        <v>54</v>
      </c>
      <c r="C91" s="11">
        <v>4.0</v>
      </c>
      <c r="D91" s="56"/>
    </row>
    <row r="92" ht="27.75" customHeight="1">
      <c r="A92" s="52">
        <v>46156.0</v>
      </c>
      <c r="B92" s="11" t="s">
        <v>54</v>
      </c>
      <c r="C92" s="11">
        <v>4.0</v>
      </c>
      <c r="D92" s="56"/>
    </row>
    <row r="93" ht="27.75" customHeight="1">
      <c r="A93" s="52">
        <v>46156.0</v>
      </c>
      <c r="B93" s="11" t="s">
        <v>54</v>
      </c>
      <c r="C93" s="11">
        <v>4.0</v>
      </c>
      <c r="D93" s="56"/>
    </row>
    <row r="94" ht="27.75" customHeight="1">
      <c r="A94" s="52">
        <v>46156.0</v>
      </c>
      <c r="B94" s="11" t="s">
        <v>54</v>
      </c>
      <c r="C94" s="11">
        <v>4.0</v>
      </c>
      <c r="D94" s="56"/>
    </row>
    <row r="95" ht="27.75" customHeight="1">
      <c r="A95" s="52">
        <v>46157.0</v>
      </c>
      <c r="B95" s="11" t="s">
        <v>67</v>
      </c>
      <c r="C95" s="11">
        <v>4.0</v>
      </c>
      <c r="D95" s="56"/>
    </row>
    <row r="96" ht="27.75" customHeight="1">
      <c r="A96" s="52">
        <v>46157.0</v>
      </c>
      <c r="B96" s="11" t="s">
        <v>67</v>
      </c>
      <c r="C96" s="11">
        <v>4.0</v>
      </c>
      <c r="D96" s="56"/>
    </row>
    <row r="97" ht="27.75" customHeight="1">
      <c r="A97" s="52">
        <v>46157.0</v>
      </c>
      <c r="B97" s="11" t="s">
        <v>67</v>
      </c>
      <c r="C97" s="11">
        <v>4.0</v>
      </c>
      <c r="D97" s="56"/>
    </row>
    <row r="98" ht="27.75" customHeight="1">
      <c r="A98" s="52">
        <v>46157.0</v>
      </c>
      <c r="B98" s="11" t="s">
        <v>54</v>
      </c>
      <c r="C98" s="11">
        <v>4.0</v>
      </c>
      <c r="D98" s="56"/>
    </row>
    <row r="99" ht="27.75" customHeight="1">
      <c r="A99" s="52">
        <v>46157.0</v>
      </c>
      <c r="B99" s="11" t="s">
        <v>54</v>
      </c>
      <c r="C99" s="11">
        <v>4.0</v>
      </c>
      <c r="D99" s="56"/>
    </row>
    <row r="100" ht="27.75" customHeight="1">
      <c r="A100" s="52">
        <v>46157.0</v>
      </c>
      <c r="B100" s="11" t="s">
        <v>54</v>
      </c>
      <c r="C100" s="11">
        <v>4.0</v>
      </c>
      <c r="D100" s="56"/>
    </row>
    <row r="101" ht="27.75" customHeight="1">
      <c r="A101" s="52">
        <v>46157.0</v>
      </c>
      <c r="B101" s="11" t="s">
        <v>54</v>
      </c>
      <c r="C101" s="11">
        <v>4.0</v>
      </c>
      <c r="D101" s="56"/>
    </row>
    <row r="102" ht="27.75" customHeight="1">
      <c r="A102" s="52">
        <v>46157.0</v>
      </c>
      <c r="B102" s="11" t="s">
        <v>66</v>
      </c>
      <c r="C102" s="11">
        <v>4.0</v>
      </c>
      <c r="D102" s="56"/>
    </row>
    <row r="103" ht="27.75" customHeight="1">
      <c r="A103" s="52">
        <v>46157.0</v>
      </c>
      <c r="B103" s="11" t="s">
        <v>66</v>
      </c>
      <c r="C103" s="11">
        <v>4.0</v>
      </c>
      <c r="D103" s="56"/>
    </row>
    <row r="104" ht="27.75" customHeight="1">
      <c r="A104" s="52">
        <v>46157.0</v>
      </c>
      <c r="B104" s="11" t="s">
        <v>66</v>
      </c>
      <c r="C104" s="11">
        <v>4.0</v>
      </c>
      <c r="D104" s="56"/>
    </row>
    <row r="105" ht="27.75" customHeight="1">
      <c r="A105" s="52">
        <v>46157.0</v>
      </c>
      <c r="B105" s="11" t="s">
        <v>66</v>
      </c>
      <c r="C105" s="11">
        <v>4.0</v>
      </c>
      <c r="D105" s="56"/>
    </row>
    <row r="106" ht="27.75" customHeight="1">
      <c r="A106" s="52">
        <v>46158.0</v>
      </c>
      <c r="B106" s="11" t="s">
        <v>67</v>
      </c>
      <c r="C106" s="11">
        <v>4.0</v>
      </c>
      <c r="D106" s="56"/>
    </row>
    <row r="107" ht="27.75" customHeight="1">
      <c r="A107" s="52">
        <v>46158.0</v>
      </c>
      <c r="B107" s="11" t="s">
        <v>67</v>
      </c>
      <c r="C107" s="11">
        <v>4.0</v>
      </c>
      <c r="D107" s="56"/>
    </row>
    <row r="108" ht="27.75" customHeight="1">
      <c r="A108" s="52">
        <v>46158.0</v>
      </c>
      <c r="B108" s="11" t="s">
        <v>67</v>
      </c>
      <c r="C108" s="11">
        <v>4.0</v>
      </c>
      <c r="D108" s="56"/>
    </row>
    <row r="109" ht="27.75" customHeight="1">
      <c r="A109" s="52">
        <v>46158.0</v>
      </c>
      <c r="B109" s="11" t="s">
        <v>67</v>
      </c>
      <c r="C109" s="11">
        <v>4.0</v>
      </c>
      <c r="D109" s="56"/>
    </row>
    <row r="110" ht="27.75" customHeight="1">
      <c r="A110" s="52">
        <v>46158.0</v>
      </c>
      <c r="B110" s="11" t="s">
        <v>67</v>
      </c>
      <c r="C110" s="11">
        <v>4.0</v>
      </c>
      <c r="D110" s="56"/>
    </row>
    <row r="111" ht="27.75" customHeight="1">
      <c r="A111" s="52">
        <v>46158.0</v>
      </c>
      <c r="B111" s="11" t="s">
        <v>67</v>
      </c>
      <c r="C111" s="11">
        <v>4.0</v>
      </c>
      <c r="D111" s="56"/>
    </row>
    <row r="112" ht="27.75" customHeight="1">
      <c r="A112" s="52">
        <v>46158.0</v>
      </c>
      <c r="B112" s="11" t="s">
        <v>67</v>
      </c>
      <c r="C112" s="11">
        <v>4.0</v>
      </c>
      <c r="D112" s="56"/>
    </row>
    <row r="113" ht="27.75" customHeight="1">
      <c r="A113" s="52">
        <v>46158.0</v>
      </c>
      <c r="B113" s="11" t="s">
        <v>67</v>
      </c>
      <c r="C113" s="11">
        <v>4.0</v>
      </c>
      <c r="D113" s="56"/>
    </row>
    <row r="114" ht="27.75" customHeight="1">
      <c r="A114" s="52">
        <v>46158.0</v>
      </c>
      <c r="B114" s="11" t="s">
        <v>66</v>
      </c>
      <c r="C114" s="11">
        <v>4.0</v>
      </c>
      <c r="D114" s="56"/>
    </row>
    <row r="115" ht="27.75" customHeight="1">
      <c r="A115" s="52">
        <v>46158.0</v>
      </c>
      <c r="B115" s="11" t="s">
        <v>66</v>
      </c>
      <c r="C115" s="11">
        <v>4.0</v>
      </c>
      <c r="D115" s="56"/>
    </row>
    <row r="116" ht="27.75" customHeight="1">
      <c r="A116" s="52">
        <v>46158.0</v>
      </c>
      <c r="B116" s="11" t="s">
        <v>66</v>
      </c>
      <c r="C116" s="11">
        <v>4.0</v>
      </c>
      <c r="D116" s="56"/>
    </row>
    <row r="117" ht="27.75" customHeight="1">
      <c r="A117" s="52">
        <v>46159.0</v>
      </c>
      <c r="B117" s="11" t="s">
        <v>54</v>
      </c>
      <c r="C117" s="11">
        <v>4.0</v>
      </c>
      <c r="D117" s="56"/>
    </row>
    <row r="118" ht="27.75" customHeight="1">
      <c r="A118" s="52">
        <v>46159.0</v>
      </c>
      <c r="B118" s="11" t="s">
        <v>54</v>
      </c>
      <c r="C118" s="11">
        <v>4.0</v>
      </c>
      <c r="D118" s="56"/>
    </row>
    <row r="119" ht="27.75" customHeight="1">
      <c r="A119" s="52">
        <v>46159.0</v>
      </c>
      <c r="B119" s="11" t="s">
        <v>54</v>
      </c>
      <c r="C119" s="11">
        <v>4.0</v>
      </c>
      <c r="D119" s="56"/>
    </row>
    <row r="120" ht="27.75" customHeight="1">
      <c r="A120" s="52">
        <v>46159.0</v>
      </c>
      <c r="B120" s="11" t="s">
        <v>54</v>
      </c>
      <c r="C120" s="11">
        <v>4.0</v>
      </c>
      <c r="D120" s="56"/>
    </row>
    <row r="121" ht="27.75" customHeight="1">
      <c r="A121" s="52">
        <v>46160.0</v>
      </c>
      <c r="B121" s="11" t="s">
        <v>66</v>
      </c>
      <c r="C121" s="11">
        <v>4.0</v>
      </c>
      <c r="D121" s="56"/>
    </row>
    <row r="122" ht="27.75" customHeight="1">
      <c r="A122" s="52">
        <v>46160.0</v>
      </c>
      <c r="B122" s="11" t="s">
        <v>66</v>
      </c>
      <c r="C122" s="11">
        <v>4.0</v>
      </c>
      <c r="D122" s="54" t="s">
        <v>203</v>
      </c>
    </row>
    <row r="123" ht="27.75" customHeight="1">
      <c r="A123" s="52">
        <v>46160.0</v>
      </c>
      <c r="B123" s="11" t="s">
        <v>66</v>
      </c>
      <c r="C123" s="11">
        <v>4.0</v>
      </c>
      <c r="D123" s="56"/>
    </row>
    <row r="124" ht="27.75" customHeight="1">
      <c r="A124" s="52">
        <v>46160.0</v>
      </c>
      <c r="B124" s="11" t="s">
        <v>66</v>
      </c>
      <c r="C124" s="11">
        <v>4.0</v>
      </c>
      <c r="D124" s="56"/>
    </row>
    <row r="125" ht="27.75" customHeight="1">
      <c r="A125" s="52">
        <v>46160.0</v>
      </c>
      <c r="B125" s="11" t="s">
        <v>66</v>
      </c>
      <c r="C125" s="11">
        <v>4.0</v>
      </c>
      <c r="D125" s="56"/>
    </row>
    <row r="126" ht="27.75" customHeight="1">
      <c r="A126" s="52">
        <v>46160.0</v>
      </c>
      <c r="B126" s="11" t="s">
        <v>54</v>
      </c>
      <c r="C126" s="11">
        <v>4.0</v>
      </c>
      <c r="D126" s="56"/>
    </row>
    <row r="127" ht="27.75" customHeight="1">
      <c r="A127" s="52">
        <v>46160.0</v>
      </c>
      <c r="B127" s="11" t="s">
        <v>54</v>
      </c>
      <c r="C127" s="11">
        <v>4.0</v>
      </c>
      <c r="D127" s="56"/>
    </row>
    <row r="128" ht="27.75" customHeight="1">
      <c r="A128" s="52">
        <v>46160.0</v>
      </c>
      <c r="B128" s="11" t="s">
        <v>54</v>
      </c>
      <c r="C128" s="11">
        <v>4.0</v>
      </c>
      <c r="D128" s="56"/>
    </row>
    <row r="129" ht="27.75" customHeight="1">
      <c r="A129" s="52">
        <v>46160.0</v>
      </c>
      <c r="B129" s="11" t="s">
        <v>54</v>
      </c>
      <c r="C129" s="11">
        <v>4.0</v>
      </c>
      <c r="D129" s="56"/>
    </row>
    <row r="130" ht="27.75" customHeight="1">
      <c r="A130" s="52">
        <v>46160.0</v>
      </c>
      <c r="B130" s="11" t="s">
        <v>67</v>
      </c>
      <c r="C130" s="11">
        <v>4.0</v>
      </c>
      <c r="D130" s="56"/>
    </row>
    <row r="131" ht="27.75" customHeight="1">
      <c r="A131" s="52">
        <v>46160.0</v>
      </c>
      <c r="B131" s="11" t="s">
        <v>67</v>
      </c>
      <c r="C131" s="11">
        <v>4.0</v>
      </c>
      <c r="D131" s="56"/>
    </row>
    <row r="132" ht="27.75" customHeight="1">
      <c r="A132" s="52">
        <v>46161.0</v>
      </c>
      <c r="B132" s="11" t="s">
        <v>67</v>
      </c>
      <c r="C132" s="11">
        <v>4.0</v>
      </c>
      <c r="D132" s="56"/>
    </row>
    <row r="133" ht="27.75" customHeight="1">
      <c r="A133" s="52">
        <v>46161.0</v>
      </c>
      <c r="B133" s="11" t="s">
        <v>67</v>
      </c>
      <c r="C133" s="11">
        <v>4.0</v>
      </c>
      <c r="D133" s="56"/>
    </row>
    <row r="134" ht="27.75" customHeight="1">
      <c r="A134" s="52">
        <v>46161.0</v>
      </c>
      <c r="B134" s="11" t="s">
        <v>66</v>
      </c>
      <c r="C134" s="11">
        <v>4.0</v>
      </c>
      <c r="D134" s="56"/>
    </row>
    <row r="135" ht="27.75" customHeight="1">
      <c r="A135" s="52">
        <v>46161.0</v>
      </c>
      <c r="B135" s="11" t="s">
        <v>66</v>
      </c>
      <c r="C135" s="11">
        <v>4.0</v>
      </c>
      <c r="D135" s="56"/>
    </row>
    <row r="136" ht="27.75" customHeight="1">
      <c r="A136" s="52">
        <v>46161.0</v>
      </c>
      <c r="B136" s="11" t="s">
        <v>66</v>
      </c>
      <c r="C136" s="11">
        <v>4.0</v>
      </c>
      <c r="D136" s="56"/>
    </row>
    <row r="137" ht="27.75" customHeight="1">
      <c r="A137" s="52">
        <v>46161.0</v>
      </c>
      <c r="B137" s="11" t="s">
        <v>66</v>
      </c>
      <c r="C137" s="11">
        <v>4.0</v>
      </c>
      <c r="D137" s="56"/>
    </row>
    <row r="138" ht="27.75" customHeight="1">
      <c r="A138" s="52">
        <v>46161.0</v>
      </c>
      <c r="B138" s="11" t="s">
        <v>54</v>
      </c>
      <c r="C138" s="11">
        <v>4.0</v>
      </c>
      <c r="D138" s="54" t="s">
        <v>204</v>
      </c>
    </row>
    <row r="139" ht="27.75" customHeight="1">
      <c r="A139" s="52">
        <v>46161.0</v>
      </c>
      <c r="B139" s="11" t="s">
        <v>54</v>
      </c>
      <c r="C139" s="11">
        <v>4.0</v>
      </c>
      <c r="D139" s="56"/>
    </row>
    <row r="140" ht="27.75" customHeight="1">
      <c r="A140" s="52">
        <v>46161.0</v>
      </c>
      <c r="B140" s="11" t="s">
        <v>54</v>
      </c>
      <c r="C140" s="11">
        <v>4.0</v>
      </c>
      <c r="D140" s="56"/>
    </row>
    <row r="141" ht="27.75" customHeight="1">
      <c r="A141" s="52">
        <v>46162.0</v>
      </c>
      <c r="B141" s="11" t="s">
        <v>67</v>
      </c>
      <c r="C141" s="11">
        <v>4.0</v>
      </c>
      <c r="D141" s="56"/>
    </row>
    <row r="142" ht="27.75" customHeight="1">
      <c r="A142" s="52">
        <v>46162.0</v>
      </c>
      <c r="B142" s="11" t="s">
        <v>67</v>
      </c>
      <c r="C142" s="11">
        <v>4.0</v>
      </c>
      <c r="D142" s="56"/>
    </row>
    <row r="143" ht="27.75" customHeight="1">
      <c r="A143" s="52">
        <v>46162.0</v>
      </c>
      <c r="B143" s="11" t="s">
        <v>66</v>
      </c>
      <c r="C143" s="11">
        <v>4.0</v>
      </c>
      <c r="D143" s="56"/>
    </row>
    <row r="144" ht="27.75" customHeight="1">
      <c r="A144" s="52">
        <v>46162.0</v>
      </c>
      <c r="B144" s="11" t="s">
        <v>66</v>
      </c>
      <c r="C144" s="11">
        <v>4.0</v>
      </c>
      <c r="D144" s="56"/>
    </row>
    <row r="145" ht="27.75" customHeight="1">
      <c r="A145" s="52">
        <v>46162.0</v>
      </c>
      <c r="B145" s="11" t="s">
        <v>66</v>
      </c>
      <c r="C145" s="11">
        <v>4.0</v>
      </c>
      <c r="D145" s="56"/>
    </row>
    <row r="146" ht="27.75" customHeight="1">
      <c r="A146" s="52">
        <v>46162.0</v>
      </c>
      <c r="B146" s="11" t="s">
        <v>54</v>
      </c>
      <c r="C146" s="11">
        <v>4.0</v>
      </c>
      <c r="D146" s="56"/>
    </row>
    <row r="147" ht="27.75" customHeight="1">
      <c r="A147" s="52">
        <v>46162.0</v>
      </c>
      <c r="B147" s="11" t="s">
        <v>54</v>
      </c>
      <c r="C147" s="11">
        <v>4.0</v>
      </c>
      <c r="D147" s="56"/>
    </row>
    <row r="148" ht="27.75" customHeight="1">
      <c r="A148" s="52">
        <v>46162.0</v>
      </c>
      <c r="B148" s="11" t="s">
        <v>54</v>
      </c>
      <c r="C148" s="11">
        <v>4.0</v>
      </c>
      <c r="D148" s="56"/>
    </row>
    <row r="149" ht="27.75" customHeight="1">
      <c r="A149" s="52">
        <v>46162.0</v>
      </c>
      <c r="B149" s="11" t="s">
        <v>54</v>
      </c>
      <c r="C149" s="11">
        <v>4.0</v>
      </c>
      <c r="D149" s="56"/>
    </row>
    <row r="150" ht="27.75" customHeight="1">
      <c r="A150" s="52">
        <v>46162.0</v>
      </c>
      <c r="B150" s="11" t="s">
        <v>67</v>
      </c>
      <c r="C150" s="11">
        <v>4.0</v>
      </c>
      <c r="D150" s="56"/>
    </row>
    <row r="151" ht="27.75" customHeight="1">
      <c r="A151" s="52">
        <v>46163.0</v>
      </c>
      <c r="B151" s="11" t="s">
        <v>66</v>
      </c>
      <c r="C151" s="11">
        <v>4.0</v>
      </c>
      <c r="D151" s="54" t="s">
        <v>205</v>
      </c>
    </row>
    <row r="152" ht="27.75" customHeight="1">
      <c r="A152" s="52">
        <v>46163.0</v>
      </c>
      <c r="B152" s="11" t="s">
        <v>67</v>
      </c>
      <c r="C152" s="11">
        <v>4.0</v>
      </c>
      <c r="D152" s="56"/>
    </row>
    <row r="153" ht="27.75" customHeight="1">
      <c r="A153" s="52">
        <v>46164.0</v>
      </c>
      <c r="B153" s="11" t="s">
        <v>66</v>
      </c>
      <c r="C153" s="11">
        <v>4.0</v>
      </c>
      <c r="D153" s="56"/>
    </row>
    <row r="154" ht="27.75" customHeight="1">
      <c r="A154" s="52">
        <v>46164.0</v>
      </c>
      <c r="B154" s="11" t="s">
        <v>66</v>
      </c>
      <c r="C154" s="11">
        <v>4.0</v>
      </c>
      <c r="D154" s="56"/>
    </row>
    <row r="155" ht="27.75" customHeight="1">
      <c r="A155" s="52">
        <v>46164.0</v>
      </c>
      <c r="B155" s="11" t="s">
        <v>66</v>
      </c>
      <c r="C155" s="11">
        <v>4.0</v>
      </c>
      <c r="D155" s="56"/>
    </row>
    <row r="156" ht="27.75" customHeight="1">
      <c r="A156" s="52">
        <v>46164.0</v>
      </c>
      <c r="B156" s="11" t="s">
        <v>54</v>
      </c>
      <c r="C156" s="11">
        <v>4.0</v>
      </c>
      <c r="D156" s="56"/>
    </row>
    <row r="157" ht="27.75" customHeight="1">
      <c r="A157" s="52">
        <v>46164.0</v>
      </c>
      <c r="B157" s="11" t="s">
        <v>54</v>
      </c>
      <c r="C157" s="11">
        <v>4.0</v>
      </c>
      <c r="D157" s="56"/>
    </row>
    <row r="158" ht="27.75" customHeight="1">
      <c r="A158" s="52">
        <v>46164.0</v>
      </c>
      <c r="B158" s="11" t="s">
        <v>54</v>
      </c>
      <c r="C158" s="11">
        <v>4.0</v>
      </c>
      <c r="D158" s="56"/>
    </row>
    <row r="159" ht="27.75" customHeight="1">
      <c r="A159" s="52">
        <v>46164.0</v>
      </c>
      <c r="B159" s="11" t="s">
        <v>54</v>
      </c>
      <c r="C159" s="11">
        <v>4.0</v>
      </c>
      <c r="D159" s="56"/>
    </row>
    <row r="160" ht="27.75" customHeight="1">
      <c r="A160" s="52">
        <v>46165.0</v>
      </c>
      <c r="B160" s="11" t="s">
        <v>67</v>
      </c>
      <c r="C160" s="11">
        <v>4.0</v>
      </c>
      <c r="D160" s="56"/>
    </row>
    <row r="161" ht="27.75" customHeight="1">
      <c r="A161" s="52">
        <v>46165.0</v>
      </c>
      <c r="B161" s="11" t="s">
        <v>67</v>
      </c>
      <c r="C161" s="11">
        <v>4.0</v>
      </c>
      <c r="D161" s="56"/>
    </row>
    <row r="162" ht="27.75" customHeight="1">
      <c r="A162" s="52">
        <v>46165.0</v>
      </c>
      <c r="B162" s="11" t="s">
        <v>67</v>
      </c>
      <c r="C162" s="11">
        <v>4.0</v>
      </c>
      <c r="D162" s="56"/>
    </row>
    <row r="163" ht="27.75" customHeight="1">
      <c r="A163" s="52">
        <v>46165.0</v>
      </c>
      <c r="B163" s="11" t="s">
        <v>66</v>
      </c>
      <c r="C163" s="11">
        <v>4.0</v>
      </c>
      <c r="D163" s="56"/>
    </row>
    <row r="164" ht="27.75" customHeight="1">
      <c r="A164" s="52">
        <v>46165.0</v>
      </c>
      <c r="B164" s="11" t="s">
        <v>66</v>
      </c>
      <c r="C164" s="11">
        <v>4.0</v>
      </c>
      <c r="D164" s="56"/>
    </row>
    <row r="165" ht="27.75" customHeight="1">
      <c r="A165" s="52">
        <v>46165.0</v>
      </c>
      <c r="B165" s="11" t="s">
        <v>66</v>
      </c>
      <c r="C165" s="11">
        <v>4.0</v>
      </c>
      <c r="D165" s="56"/>
    </row>
    <row r="166" ht="27.75" customHeight="1">
      <c r="A166" s="52">
        <v>46165.0</v>
      </c>
      <c r="B166" s="11" t="s">
        <v>66</v>
      </c>
      <c r="C166" s="11">
        <v>4.0</v>
      </c>
      <c r="D166" s="56"/>
    </row>
    <row r="167" ht="27.75" customHeight="1">
      <c r="A167" s="52">
        <v>46165.0</v>
      </c>
      <c r="B167" s="11" t="s">
        <v>54</v>
      </c>
      <c r="C167" s="11">
        <v>4.0</v>
      </c>
      <c r="D167" s="56"/>
    </row>
    <row r="168" ht="27.75" customHeight="1">
      <c r="A168" s="52">
        <v>46165.0</v>
      </c>
      <c r="B168" s="11" t="s">
        <v>54</v>
      </c>
      <c r="C168" s="11">
        <v>4.0</v>
      </c>
      <c r="D168" s="56"/>
    </row>
    <row r="169" ht="27.75" customHeight="1">
      <c r="A169" s="52">
        <v>46165.0</v>
      </c>
      <c r="B169" s="11" t="s">
        <v>54</v>
      </c>
      <c r="C169" s="11">
        <v>4.0</v>
      </c>
      <c r="D169" s="56"/>
    </row>
    <row r="170" ht="27.75" customHeight="1">
      <c r="A170" s="52">
        <v>46165.0</v>
      </c>
      <c r="B170" s="11" t="s">
        <v>54</v>
      </c>
      <c r="C170" s="11">
        <v>4.0</v>
      </c>
      <c r="D170" s="56"/>
    </row>
    <row r="171" ht="27.75" customHeight="1">
      <c r="A171" s="52">
        <v>46165.0</v>
      </c>
      <c r="B171" s="11" t="s">
        <v>54</v>
      </c>
      <c r="C171" s="11">
        <v>4.0</v>
      </c>
      <c r="D171" s="54" t="s">
        <v>206</v>
      </c>
    </row>
    <row r="172" ht="27.75" customHeight="1">
      <c r="A172" s="52">
        <v>46165.0</v>
      </c>
      <c r="B172" s="11" t="s">
        <v>54</v>
      </c>
      <c r="C172" s="11">
        <v>4.0</v>
      </c>
      <c r="D172" s="56"/>
    </row>
    <row r="173" ht="27.75" customHeight="1">
      <c r="A173" s="52">
        <v>46165.0</v>
      </c>
      <c r="B173" s="11" t="s">
        <v>67</v>
      </c>
      <c r="C173" s="11">
        <v>4.0</v>
      </c>
      <c r="D173" s="56"/>
    </row>
    <row r="174" ht="27.75" customHeight="1">
      <c r="A174" s="52">
        <v>46166.0</v>
      </c>
      <c r="B174" s="11" t="s">
        <v>67</v>
      </c>
      <c r="C174" s="11">
        <v>4.0</v>
      </c>
      <c r="D174" s="56"/>
    </row>
    <row r="175" ht="27.75" customHeight="1">
      <c r="A175" s="52">
        <v>46166.0</v>
      </c>
      <c r="B175" s="11" t="s">
        <v>67</v>
      </c>
      <c r="C175" s="11">
        <v>4.0</v>
      </c>
      <c r="D175" s="56"/>
    </row>
    <row r="176" ht="27.75" customHeight="1">
      <c r="A176" s="52">
        <v>46166.0</v>
      </c>
      <c r="B176" s="11" t="s">
        <v>67</v>
      </c>
      <c r="C176" s="11">
        <v>4.0</v>
      </c>
      <c r="D176" s="56"/>
    </row>
    <row r="177" ht="27.75" customHeight="1">
      <c r="A177" s="52">
        <v>46167.0</v>
      </c>
      <c r="B177" s="11" t="s">
        <v>54</v>
      </c>
      <c r="C177" s="11">
        <v>4.0</v>
      </c>
      <c r="D177" s="56"/>
    </row>
    <row r="178" ht="27.75" customHeight="1">
      <c r="A178" s="52">
        <v>46167.0</v>
      </c>
      <c r="B178" s="11" t="s">
        <v>54</v>
      </c>
      <c r="C178" s="11">
        <v>4.0</v>
      </c>
      <c r="D178" s="56"/>
    </row>
    <row r="179" ht="27.75" customHeight="1">
      <c r="A179" s="52">
        <v>46167.0</v>
      </c>
      <c r="B179" s="11" t="s">
        <v>54</v>
      </c>
      <c r="C179" s="11">
        <v>4.0</v>
      </c>
      <c r="D179" s="54" t="s">
        <v>207</v>
      </c>
    </row>
    <row r="180" ht="27.75" customHeight="1">
      <c r="A180" s="52">
        <v>46167.0</v>
      </c>
      <c r="B180" s="11" t="s">
        <v>54</v>
      </c>
      <c r="C180" s="11">
        <v>4.0</v>
      </c>
      <c r="D180" s="56"/>
    </row>
    <row r="181" ht="27.75" customHeight="1">
      <c r="A181" s="52">
        <v>46167.0</v>
      </c>
      <c r="B181" s="11" t="s">
        <v>54</v>
      </c>
      <c r="C181" s="11">
        <v>4.0</v>
      </c>
      <c r="D181" s="56"/>
    </row>
    <row r="182" ht="27.75" customHeight="1">
      <c r="A182" s="52">
        <v>46167.0</v>
      </c>
      <c r="B182" s="11" t="s">
        <v>54</v>
      </c>
      <c r="C182" s="11">
        <v>4.0</v>
      </c>
      <c r="D182" s="56"/>
    </row>
    <row r="183" ht="27.75" customHeight="1">
      <c r="A183" s="52">
        <v>46167.0</v>
      </c>
      <c r="B183" s="11" t="s">
        <v>66</v>
      </c>
      <c r="C183" s="11">
        <v>4.0</v>
      </c>
      <c r="D183" s="56"/>
    </row>
    <row r="184" ht="27.75" customHeight="1">
      <c r="A184" s="52">
        <v>46167.0</v>
      </c>
      <c r="B184" s="11" t="s">
        <v>66</v>
      </c>
      <c r="C184" s="11">
        <v>4.0</v>
      </c>
      <c r="D184" s="56"/>
    </row>
    <row r="185" ht="27.75" customHeight="1">
      <c r="A185" s="52">
        <v>46168.0</v>
      </c>
      <c r="B185" s="11" t="s">
        <v>66</v>
      </c>
      <c r="C185" s="11">
        <v>4.0</v>
      </c>
      <c r="D185" s="56"/>
    </row>
    <row r="186" ht="27.75" customHeight="1">
      <c r="A186" s="52">
        <v>46168.0</v>
      </c>
      <c r="B186" s="11" t="s">
        <v>66</v>
      </c>
      <c r="C186" s="11">
        <v>4.0</v>
      </c>
      <c r="D186" s="56"/>
    </row>
    <row r="187" ht="27.75" customHeight="1">
      <c r="A187" s="52">
        <v>46168.0</v>
      </c>
      <c r="B187" s="11" t="s">
        <v>66</v>
      </c>
      <c r="C187" s="11">
        <v>4.0</v>
      </c>
      <c r="D187" s="56"/>
    </row>
    <row r="188" ht="27.75" customHeight="1">
      <c r="A188" s="52">
        <v>46168.0</v>
      </c>
      <c r="B188" s="11" t="s">
        <v>54</v>
      </c>
      <c r="C188" s="11">
        <v>4.0</v>
      </c>
      <c r="D188" s="56"/>
    </row>
    <row r="189" ht="27.75" customHeight="1">
      <c r="A189" s="52">
        <v>46168.0</v>
      </c>
      <c r="B189" s="11" t="s">
        <v>54</v>
      </c>
      <c r="C189" s="11">
        <v>4.0</v>
      </c>
      <c r="D189" s="56"/>
    </row>
    <row r="190" ht="27.75" customHeight="1">
      <c r="A190" s="52">
        <v>46168.0</v>
      </c>
      <c r="B190" s="11" t="s">
        <v>54</v>
      </c>
      <c r="C190" s="11">
        <v>4.0</v>
      </c>
      <c r="D190" s="56"/>
    </row>
    <row r="191" ht="27.75" customHeight="1">
      <c r="A191" s="52">
        <v>46168.0</v>
      </c>
      <c r="B191" s="11" t="s">
        <v>54</v>
      </c>
      <c r="C191" s="11">
        <v>4.0</v>
      </c>
      <c r="D191" s="56"/>
    </row>
    <row r="192" ht="27.75" customHeight="1">
      <c r="A192" s="52">
        <v>46169.0</v>
      </c>
      <c r="B192" s="11" t="s">
        <v>67</v>
      </c>
      <c r="C192" s="11">
        <v>4.0</v>
      </c>
      <c r="D192" s="56"/>
    </row>
    <row r="193" ht="27.75" customHeight="1">
      <c r="A193" s="52">
        <v>46169.0</v>
      </c>
      <c r="B193" s="11" t="s">
        <v>67</v>
      </c>
      <c r="C193" s="11">
        <v>4.0</v>
      </c>
      <c r="D193" s="56"/>
    </row>
    <row r="194" ht="27.75" customHeight="1">
      <c r="A194" s="52">
        <v>46169.0</v>
      </c>
      <c r="B194" s="11" t="s">
        <v>67</v>
      </c>
      <c r="C194" s="11">
        <v>4.0</v>
      </c>
      <c r="D194" s="56"/>
    </row>
    <row r="195" ht="27.75" customHeight="1">
      <c r="A195" s="52">
        <v>46169.0</v>
      </c>
      <c r="B195" s="11" t="s">
        <v>67</v>
      </c>
      <c r="C195" s="11">
        <v>4.0</v>
      </c>
      <c r="D195" s="56"/>
    </row>
    <row r="196" ht="27.75" customHeight="1">
      <c r="A196" s="52">
        <v>46169.0</v>
      </c>
      <c r="B196" s="11" t="s">
        <v>67</v>
      </c>
      <c r="C196" s="11">
        <v>4.0</v>
      </c>
      <c r="D196" s="56"/>
    </row>
    <row r="197" ht="27.75" customHeight="1">
      <c r="A197" s="52">
        <v>46169.0</v>
      </c>
      <c r="B197" s="11" t="s">
        <v>67</v>
      </c>
      <c r="C197" s="11">
        <v>4.0</v>
      </c>
      <c r="D197" s="56"/>
    </row>
    <row r="198" ht="27.75" customHeight="1">
      <c r="A198" s="52">
        <v>46169.0</v>
      </c>
      <c r="B198" s="11" t="s">
        <v>66</v>
      </c>
      <c r="C198" s="11">
        <v>4.0</v>
      </c>
      <c r="D198" s="56"/>
    </row>
    <row r="199" ht="27.75" customHeight="1">
      <c r="A199" s="52">
        <v>46169.0</v>
      </c>
      <c r="B199" s="11" t="s">
        <v>66</v>
      </c>
      <c r="C199" s="11">
        <v>4.0</v>
      </c>
      <c r="D199" s="56"/>
    </row>
    <row r="200" ht="27.75" customHeight="1">
      <c r="A200" s="52">
        <v>46169.0</v>
      </c>
      <c r="B200" s="11" t="s">
        <v>66</v>
      </c>
      <c r="C200" s="11">
        <v>4.0</v>
      </c>
      <c r="D200" s="56"/>
    </row>
    <row r="201" ht="27.75" customHeight="1">
      <c r="A201" s="52">
        <v>46169.0</v>
      </c>
      <c r="B201" s="11" t="s">
        <v>66</v>
      </c>
      <c r="C201" s="11">
        <v>4.0</v>
      </c>
      <c r="D201" s="56"/>
    </row>
    <row r="202" ht="27.75" customHeight="1">
      <c r="A202" s="52">
        <v>46169.0</v>
      </c>
      <c r="B202" s="11" t="s">
        <v>66</v>
      </c>
      <c r="C202" s="11">
        <v>4.0</v>
      </c>
      <c r="D202" s="56"/>
    </row>
    <row r="203" ht="27.75" customHeight="1">
      <c r="A203" s="52">
        <v>46169.0</v>
      </c>
      <c r="B203" s="11" t="s">
        <v>66</v>
      </c>
      <c r="C203" s="11">
        <v>4.0</v>
      </c>
      <c r="D203" s="56"/>
    </row>
    <row r="204" ht="27.75" customHeight="1">
      <c r="A204" s="52">
        <v>46169.0</v>
      </c>
      <c r="B204" s="11" t="s">
        <v>54</v>
      </c>
      <c r="C204" s="11">
        <v>4.0</v>
      </c>
      <c r="D204" s="56"/>
    </row>
    <row r="205" ht="27.75" customHeight="1">
      <c r="A205" s="52">
        <v>46169.0</v>
      </c>
      <c r="B205" s="11" t="s">
        <v>54</v>
      </c>
      <c r="C205" s="11">
        <v>4.0</v>
      </c>
      <c r="D205" s="54" t="s">
        <v>208</v>
      </c>
    </row>
    <row r="206" ht="27.75" customHeight="1">
      <c r="A206" s="52">
        <v>46169.0</v>
      </c>
      <c r="B206" s="11" t="s">
        <v>67</v>
      </c>
      <c r="C206" s="11">
        <v>4.0</v>
      </c>
      <c r="D206" s="56"/>
    </row>
    <row r="207" ht="27.75" customHeight="1">
      <c r="A207" s="52">
        <v>46169.0</v>
      </c>
      <c r="B207" s="11" t="s">
        <v>67</v>
      </c>
      <c r="C207" s="11">
        <v>4.0</v>
      </c>
      <c r="D207" s="56"/>
    </row>
    <row r="208" ht="27.75" customHeight="1">
      <c r="A208" s="52">
        <v>46169.0</v>
      </c>
      <c r="B208" s="11" t="s">
        <v>67</v>
      </c>
      <c r="C208" s="11">
        <v>4.0</v>
      </c>
      <c r="D208" s="56"/>
    </row>
    <row r="209" ht="27.75" customHeight="1">
      <c r="A209" s="52">
        <v>46169.0</v>
      </c>
      <c r="B209" s="11" t="s">
        <v>67</v>
      </c>
      <c r="C209" s="11">
        <v>4.0</v>
      </c>
      <c r="D209" s="56"/>
    </row>
    <row r="210" ht="27.75" customHeight="1">
      <c r="A210" s="52">
        <v>46169.0</v>
      </c>
      <c r="B210" s="11" t="s">
        <v>67</v>
      </c>
      <c r="C210" s="11">
        <v>4.0</v>
      </c>
      <c r="D210" s="56"/>
    </row>
    <row r="211" ht="27.75" customHeight="1">
      <c r="A211" s="52">
        <v>46169.0</v>
      </c>
      <c r="B211" s="11" t="s">
        <v>66</v>
      </c>
      <c r="C211" s="11">
        <v>4.0</v>
      </c>
      <c r="D211" s="54" t="s">
        <v>209</v>
      </c>
    </row>
    <row r="212" ht="27.75" customHeight="1">
      <c r="A212" s="52">
        <v>46170.0</v>
      </c>
      <c r="B212" s="11" t="s">
        <v>66</v>
      </c>
      <c r="C212" s="11">
        <v>4.0</v>
      </c>
      <c r="D212" s="56"/>
    </row>
    <row r="213" ht="27.75" customHeight="1">
      <c r="A213" s="52">
        <v>46170.0</v>
      </c>
      <c r="B213" s="11" t="s">
        <v>66</v>
      </c>
      <c r="C213" s="11">
        <v>4.0</v>
      </c>
      <c r="D213" s="56"/>
    </row>
    <row r="214" ht="27.75" customHeight="1">
      <c r="A214" s="52">
        <v>46170.0</v>
      </c>
      <c r="B214" s="11" t="s">
        <v>66</v>
      </c>
      <c r="C214" s="11">
        <v>4.0</v>
      </c>
      <c r="D214" s="56"/>
    </row>
    <row r="215" ht="27.75" customHeight="1">
      <c r="A215" s="52">
        <v>46170.0</v>
      </c>
      <c r="B215" s="11" t="s">
        <v>54</v>
      </c>
      <c r="C215" s="11">
        <v>4.0</v>
      </c>
      <c r="D215" s="56"/>
    </row>
    <row r="216" ht="27.75" customHeight="1">
      <c r="A216" s="52">
        <v>46170.0</v>
      </c>
      <c r="B216" s="11" t="s">
        <v>54</v>
      </c>
      <c r="C216" s="11">
        <v>4.0</v>
      </c>
      <c r="D216" s="56"/>
    </row>
    <row r="217" ht="27.75" customHeight="1">
      <c r="A217" s="52">
        <v>46170.0</v>
      </c>
      <c r="B217" s="11" t="s">
        <v>54</v>
      </c>
      <c r="C217" s="11">
        <v>4.0</v>
      </c>
      <c r="D217" s="54" t="s">
        <v>210</v>
      </c>
    </row>
    <row r="218" ht="27.75" customHeight="1">
      <c r="A218" s="52">
        <v>46170.0</v>
      </c>
      <c r="B218" s="11" t="s">
        <v>54</v>
      </c>
      <c r="C218" s="11">
        <v>4.0</v>
      </c>
      <c r="D218" s="56"/>
    </row>
    <row r="219" ht="27.75" customHeight="1">
      <c r="A219" s="52">
        <v>46170.0</v>
      </c>
      <c r="B219" s="11" t="s">
        <v>67</v>
      </c>
      <c r="C219" s="11">
        <v>4.0</v>
      </c>
      <c r="D219" s="56"/>
    </row>
    <row r="220" ht="27.75" customHeight="1">
      <c r="A220" s="52">
        <v>46170.0</v>
      </c>
      <c r="B220" s="11" t="s">
        <v>67</v>
      </c>
      <c r="C220" s="11">
        <v>4.0</v>
      </c>
      <c r="D220" s="56"/>
    </row>
    <row r="221" ht="27.75" customHeight="1">
      <c r="A221" s="52">
        <v>46170.0</v>
      </c>
      <c r="B221" s="11" t="s">
        <v>67</v>
      </c>
      <c r="C221" s="11">
        <v>4.0</v>
      </c>
      <c r="D221" s="56"/>
    </row>
    <row r="222" ht="27.75" customHeight="1">
      <c r="A222" s="52">
        <v>46170.0</v>
      </c>
      <c r="B222" s="11" t="s">
        <v>67</v>
      </c>
      <c r="C222" s="11">
        <v>4.0</v>
      </c>
      <c r="D222" s="56"/>
    </row>
    <row r="223" ht="27.75" customHeight="1">
      <c r="A223" s="52">
        <v>46170.0</v>
      </c>
      <c r="B223" s="11" t="s">
        <v>66</v>
      </c>
      <c r="C223" s="11">
        <v>4.0</v>
      </c>
      <c r="D223" s="56"/>
    </row>
    <row r="224" ht="27.75" customHeight="1">
      <c r="A224" s="52">
        <v>46171.0</v>
      </c>
      <c r="B224" s="11" t="s">
        <v>66</v>
      </c>
      <c r="C224" s="11">
        <v>4.0</v>
      </c>
      <c r="D224" s="56"/>
    </row>
    <row r="225" ht="27.75" customHeight="1">
      <c r="A225" s="52">
        <v>46171.0</v>
      </c>
      <c r="B225" s="11" t="s">
        <v>66</v>
      </c>
      <c r="C225" s="11">
        <v>4.0</v>
      </c>
      <c r="D225" s="56"/>
    </row>
    <row r="226" ht="41.25" customHeight="1">
      <c r="A226" s="52">
        <v>46171.0</v>
      </c>
      <c r="B226" s="11" t="s">
        <v>66</v>
      </c>
      <c r="C226" s="11">
        <v>4.0</v>
      </c>
      <c r="D226" s="54" t="s">
        <v>211</v>
      </c>
    </row>
    <row r="227" ht="27.75" customHeight="1">
      <c r="A227" s="52">
        <v>46171.0</v>
      </c>
      <c r="B227" s="11" t="s">
        <v>54</v>
      </c>
      <c r="C227" s="11">
        <v>4.0</v>
      </c>
      <c r="D227" s="56"/>
    </row>
    <row r="228" ht="27.75" customHeight="1">
      <c r="A228" s="52">
        <v>46171.0</v>
      </c>
      <c r="B228" s="11" t="s">
        <v>67</v>
      </c>
      <c r="C228" s="11">
        <v>4.0</v>
      </c>
      <c r="D228" s="56"/>
    </row>
    <row r="229" ht="27.75" customHeight="1">
      <c r="A229" s="52">
        <v>46171.0</v>
      </c>
      <c r="B229" s="11" t="s">
        <v>67</v>
      </c>
      <c r="C229" s="11">
        <v>4.0</v>
      </c>
      <c r="D229" s="56"/>
    </row>
    <row r="230" ht="27.75" customHeight="1">
      <c r="A230" s="52">
        <v>46171.0</v>
      </c>
      <c r="B230" s="11" t="s">
        <v>67</v>
      </c>
      <c r="C230" s="11">
        <v>4.0</v>
      </c>
      <c r="D230" s="56"/>
    </row>
    <row r="231" ht="27.75" customHeight="1">
      <c r="A231" s="52">
        <v>46171.0</v>
      </c>
      <c r="B231" s="11" t="s">
        <v>66</v>
      </c>
      <c r="C231" s="11">
        <v>4.0</v>
      </c>
      <c r="D231" s="56"/>
    </row>
    <row r="232" ht="27.75" customHeight="1">
      <c r="A232" s="52">
        <v>46172.0</v>
      </c>
      <c r="B232" s="11" t="s">
        <v>66</v>
      </c>
      <c r="C232" s="11">
        <v>4.0</v>
      </c>
      <c r="D232" s="56"/>
    </row>
    <row r="233" ht="27.75" customHeight="1">
      <c r="A233" s="52">
        <v>46172.0</v>
      </c>
      <c r="B233" s="11" t="s">
        <v>66</v>
      </c>
      <c r="C233" s="11">
        <v>4.0</v>
      </c>
      <c r="D233" s="56"/>
    </row>
    <row r="234" ht="27.75" customHeight="1">
      <c r="A234" s="52">
        <v>46172.0</v>
      </c>
      <c r="B234" s="11" t="s">
        <v>66</v>
      </c>
      <c r="C234" s="11">
        <v>4.0</v>
      </c>
      <c r="D234" s="56"/>
    </row>
    <row r="235" ht="27.75" customHeight="1">
      <c r="A235" s="52">
        <v>46172.0</v>
      </c>
      <c r="B235" s="11" t="s">
        <v>54</v>
      </c>
      <c r="C235" s="11">
        <v>4.0</v>
      </c>
      <c r="D235" s="56"/>
    </row>
    <row r="236" ht="27.75" customHeight="1">
      <c r="A236" s="52">
        <v>46172.0</v>
      </c>
      <c r="B236" s="11" t="s">
        <v>54</v>
      </c>
      <c r="C236" s="11">
        <v>4.0</v>
      </c>
      <c r="D236" s="56"/>
    </row>
    <row r="237" ht="27.75" customHeight="1">
      <c r="A237" s="52">
        <v>46172.0</v>
      </c>
      <c r="B237" s="11" t="s">
        <v>54</v>
      </c>
      <c r="C237" s="11">
        <v>4.0</v>
      </c>
      <c r="D237" s="56"/>
    </row>
    <row r="238" ht="27.75" customHeight="1">
      <c r="A238" s="52">
        <v>46172.0</v>
      </c>
      <c r="B238" s="11" t="s">
        <v>54</v>
      </c>
      <c r="C238" s="11">
        <v>4.0</v>
      </c>
      <c r="D238" s="54" t="s">
        <v>212</v>
      </c>
    </row>
    <row r="239" ht="27.75" customHeight="1">
      <c r="A239" s="52">
        <v>46172.0</v>
      </c>
      <c r="B239" s="11" t="s">
        <v>54</v>
      </c>
      <c r="C239" s="11">
        <v>4.0</v>
      </c>
      <c r="D239" s="56"/>
    </row>
    <row r="240" ht="27.75" customHeight="1">
      <c r="A240" s="52">
        <v>46172.0</v>
      </c>
      <c r="B240" s="11" t="s">
        <v>54</v>
      </c>
      <c r="C240" s="11">
        <v>4.0</v>
      </c>
      <c r="D240" s="56"/>
    </row>
    <row r="241" ht="27.75" customHeight="1">
      <c r="A241" s="52">
        <v>46172.0</v>
      </c>
      <c r="B241" s="11" t="s">
        <v>67</v>
      </c>
      <c r="C241" s="11">
        <v>4.0</v>
      </c>
      <c r="D241" s="56"/>
    </row>
    <row r="242" ht="27.75" customHeight="1">
      <c r="A242" s="52">
        <v>46172.0</v>
      </c>
      <c r="B242" s="11" t="s">
        <v>67</v>
      </c>
      <c r="C242" s="11">
        <v>4.0</v>
      </c>
      <c r="D242" s="56"/>
    </row>
    <row r="243" ht="27.75" customHeight="1">
      <c r="A243" s="52">
        <v>46172.0</v>
      </c>
      <c r="B243" s="11" t="s">
        <v>67</v>
      </c>
      <c r="C243" s="11">
        <v>4.0</v>
      </c>
      <c r="D243" s="56"/>
    </row>
    <row r="244" ht="27.75" customHeight="1">
      <c r="A244" s="52">
        <v>46172.0</v>
      </c>
      <c r="B244" s="11" t="s">
        <v>67</v>
      </c>
      <c r="C244" s="11">
        <v>4.0</v>
      </c>
      <c r="D244" s="56"/>
    </row>
    <row r="245" ht="27.75" customHeight="1">
      <c r="A245" s="52">
        <v>46173.0</v>
      </c>
      <c r="B245" s="11" t="s">
        <v>66</v>
      </c>
      <c r="C245" s="11">
        <v>4.0</v>
      </c>
      <c r="D245" s="56"/>
    </row>
    <row r="246" ht="27.75" customHeight="1">
      <c r="A246" s="52">
        <v>46173.0</v>
      </c>
      <c r="B246" s="11" t="s">
        <v>66</v>
      </c>
      <c r="C246" s="11">
        <v>4.0</v>
      </c>
      <c r="D246" s="56"/>
    </row>
    <row r="247" ht="27.75" customHeight="1">
      <c r="A247" s="52">
        <v>46173.0</v>
      </c>
      <c r="B247" s="11" t="s">
        <v>66</v>
      </c>
      <c r="C247" s="11">
        <v>4.0</v>
      </c>
      <c r="D247" s="56"/>
    </row>
    <row r="248" ht="27.75" customHeight="1">
      <c r="A248" s="52">
        <v>46173.0</v>
      </c>
      <c r="B248" s="11" t="s">
        <v>67</v>
      </c>
      <c r="C248" s="11">
        <v>4.0</v>
      </c>
      <c r="D248" s="56"/>
    </row>
    <row r="249" ht="27.75" customHeight="1">
      <c r="A249" s="52">
        <v>46173.0</v>
      </c>
      <c r="B249" s="11" t="s">
        <v>67</v>
      </c>
      <c r="C249" s="11">
        <v>4.0</v>
      </c>
      <c r="D249" s="56"/>
    </row>
    <row r="250" ht="27.75" customHeight="1">
      <c r="A250" s="52">
        <v>46173.0</v>
      </c>
      <c r="B250" s="11" t="s">
        <v>54</v>
      </c>
      <c r="C250" s="11">
        <v>4.0</v>
      </c>
      <c r="D250" s="56"/>
    </row>
    <row r="251" ht="27.75" customHeight="1">
      <c r="A251" s="52">
        <v>46173.0</v>
      </c>
      <c r="B251" s="11" t="s">
        <v>54</v>
      </c>
      <c r="C251" s="11">
        <v>4.0</v>
      </c>
      <c r="D251" s="56"/>
    </row>
    <row r="252" ht="27.75" customHeight="1">
      <c r="A252" s="52">
        <v>46173.0</v>
      </c>
      <c r="B252" s="11" t="s">
        <v>54</v>
      </c>
      <c r="C252" s="11">
        <v>4.0</v>
      </c>
      <c r="D252" s="56"/>
    </row>
    <row r="253" ht="27.75" customHeight="1">
      <c r="A253" s="52">
        <v>46173.0</v>
      </c>
      <c r="B253" s="11" t="s">
        <v>54</v>
      </c>
      <c r="C253" s="11">
        <v>4.0</v>
      </c>
      <c r="D253" s="56"/>
    </row>
    <row r="254" ht="27.75" customHeight="1">
      <c r="A254" s="52">
        <v>46174.0</v>
      </c>
      <c r="B254" s="11" t="s">
        <v>66</v>
      </c>
      <c r="C254" s="11">
        <v>4.0</v>
      </c>
      <c r="D254" s="56"/>
    </row>
    <row r="255" ht="27.75" customHeight="1">
      <c r="A255" s="52">
        <v>46174.0</v>
      </c>
      <c r="B255" s="11" t="s">
        <v>66</v>
      </c>
      <c r="C255" s="11">
        <v>4.0</v>
      </c>
      <c r="D255" s="56"/>
    </row>
    <row r="256" ht="27.75" customHeight="1">
      <c r="A256" s="52">
        <v>46174.0</v>
      </c>
      <c r="B256" s="11" t="s">
        <v>67</v>
      </c>
      <c r="C256" s="11">
        <v>4.0</v>
      </c>
      <c r="D256" s="56"/>
    </row>
    <row r="257" ht="27.75" customHeight="1">
      <c r="A257" s="52">
        <v>46174.0</v>
      </c>
      <c r="B257" s="11" t="s">
        <v>67</v>
      </c>
      <c r="C257" s="11">
        <v>4.0</v>
      </c>
      <c r="D257" s="56"/>
    </row>
    <row r="258" ht="27.75" customHeight="1">
      <c r="A258" s="52">
        <v>46174.0</v>
      </c>
      <c r="B258" s="11" t="s">
        <v>67</v>
      </c>
      <c r="C258" s="11">
        <v>4.0</v>
      </c>
      <c r="D258" s="56"/>
    </row>
    <row r="259" ht="27.75" customHeight="1">
      <c r="A259" s="52">
        <v>46174.0</v>
      </c>
      <c r="B259" s="11" t="s">
        <v>67</v>
      </c>
      <c r="C259" s="11">
        <v>4.0</v>
      </c>
      <c r="D259" s="56"/>
    </row>
    <row r="260" ht="27.75" customHeight="1">
      <c r="A260" s="52">
        <v>46174.0</v>
      </c>
      <c r="B260" s="11" t="s">
        <v>54</v>
      </c>
      <c r="C260" s="11">
        <v>4.0</v>
      </c>
      <c r="D260" s="54" t="s">
        <v>213</v>
      </c>
    </row>
    <row r="261" ht="27.75" customHeight="1">
      <c r="A261" s="52">
        <v>46174.0</v>
      </c>
      <c r="B261" s="11" t="s">
        <v>54</v>
      </c>
      <c r="C261" s="11">
        <v>4.0</v>
      </c>
      <c r="D261" s="56"/>
    </row>
    <row r="262" ht="27.75" customHeight="1">
      <c r="A262" s="52">
        <v>46174.0</v>
      </c>
      <c r="B262" s="11" t="s">
        <v>54</v>
      </c>
      <c r="C262" s="11">
        <v>4.0</v>
      </c>
      <c r="D262" s="56"/>
    </row>
    <row r="263" ht="27.75" customHeight="1">
      <c r="A263" s="52">
        <v>46174.0</v>
      </c>
      <c r="B263" s="11" t="s">
        <v>54</v>
      </c>
      <c r="C263" s="11">
        <v>4.0</v>
      </c>
      <c r="D263" s="56"/>
    </row>
    <row r="264" ht="27.75" customHeight="1">
      <c r="A264" s="52">
        <v>46175.0</v>
      </c>
      <c r="B264" s="11" t="s">
        <v>66</v>
      </c>
      <c r="C264" s="11">
        <v>4.0</v>
      </c>
      <c r="D264" s="56"/>
    </row>
    <row r="265" ht="27.75" customHeight="1">
      <c r="A265" s="52">
        <v>46175.0</v>
      </c>
      <c r="B265" s="11" t="s">
        <v>66</v>
      </c>
      <c r="C265" s="11">
        <v>4.0</v>
      </c>
      <c r="D265" s="56"/>
    </row>
    <row r="266" ht="27.75" customHeight="1">
      <c r="A266" s="52">
        <v>46175.0</v>
      </c>
      <c r="B266" s="11" t="s">
        <v>66</v>
      </c>
      <c r="C266" s="11">
        <v>4.0</v>
      </c>
      <c r="D266" s="56"/>
    </row>
    <row r="267" ht="27.75" customHeight="1">
      <c r="A267" s="52">
        <v>46175.0</v>
      </c>
      <c r="B267" s="11" t="s">
        <v>67</v>
      </c>
      <c r="C267" s="11">
        <v>4.0</v>
      </c>
      <c r="D267" s="56"/>
    </row>
    <row r="268" ht="27.75" customHeight="1">
      <c r="A268" s="52">
        <v>46175.0</v>
      </c>
      <c r="B268" s="11" t="s">
        <v>67</v>
      </c>
      <c r="C268" s="11">
        <v>4.0</v>
      </c>
      <c r="D268" s="56"/>
    </row>
    <row r="269" ht="27.75" customHeight="1">
      <c r="A269" s="52">
        <v>46175.0</v>
      </c>
      <c r="B269" s="11" t="s">
        <v>67</v>
      </c>
      <c r="C269" s="11">
        <v>4.0</v>
      </c>
      <c r="D269" s="56"/>
    </row>
    <row r="270" ht="27.75" customHeight="1">
      <c r="A270" s="52">
        <v>46175.0</v>
      </c>
      <c r="B270" s="11" t="s">
        <v>54</v>
      </c>
      <c r="C270" s="11">
        <v>4.0</v>
      </c>
      <c r="D270" s="56"/>
    </row>
    <row r="271" ht="27.75" customHeight="1">
      <c r="A271" s="52">
        <v>46175.0</v>
      </c>
      <c r="B271" s="11" t="s">
        <v>54</v>
      </c>
      <c r="C271" s="11">
        <v>4.0</v>
      </c>
      <c r="D271" s="56"/>
    </row>
    <row r="272" ht="27.75" customHeight="1">
      <c r="A272" s="52">
        <v>46175.0</v>
      </c>
      <c r="B272" s="11" t="s">
        <v>54</v>
      </c>
      <c r="C272" s="11">
        <v>4.0</v>
      </c>
      <c r="D272" s="56"/>
    </row>
    <row r="273" ht="41.25" customHeight="1">
      <c r="A273" s="52">
        <v>46176.0</v>
      </c>
      <c r="B273" s="11" t="s">
        <v>66</v>
      </c>
      <c r="C273" s="11">
        <v>4.0</v>
      </c>
      <c r="D273" s="54" t="s">
        <v>214</v>
      </c>
    </row>
    <row r="274" ht="27.75" customHeight="1">
      <c r="A274" s="52">
        <v>46176.0</v>
      </c>
      <c r="B274" s="11" t="s">
        <v>66</v>
      </c>
      <c r="C274" s="11">
        <v>4.0</v>
      </c>
      <c r="D274" s="56"/>
    </row>
    <row r="275" ht="27.75" customHeight="1">
      <c r="A275" s="52">
        <v>46176.0</v>
      </c>
      <c r="B275" s="11" t="s">
        <v>66</v>
      </c>
      <c r="C275" s="11">
        <v>4.0</v>
      </c>
      <c r="D275" s="56"/>
    </row>
    <row r="276" ht="27.75" customHeight="1">
      <c r="A276" s="52">
        <v>46176.0</v>
      </c>
      <c r="B276" s="11" t="s">
        <v>66</v>
      </c>
      <c r="C276" s="11">
        <v>4.0</v>
      </c>
      <c r="D276" s="56"/>
    </row>
    <row r="277" ht="27.75" customHeight="1">
      <c r="A277" s="52">
        <v>46176.0</v>
      </c>
      <c r="B277" s="11" t="s">
        <v>67</v>
      </c>
      <c r="C277" s="11">
        <v>4.0</v>
      </c>
      <c r="D277" s="56"/>
    </row>
    <row r="278" ht="27.75" customHeight="1">
      <c r="A278" s="52">
        <v>46176.0</v>
      </c>
      <c r="B278" s="11" t="s">
        <v>54</v>
      </c>
      <c r="C278" s="11">
        <v>4.0</v>
      </c>
      <c r="D278" s="56"/>
    </row>
    <row r="279" ht="27.75" customHeight="1">
      <c r="A279" s="52">
        <v>46176.0</v>
      </c>
      <c r="B279" s="11" t="s">
        <v>54</v>
      </c>
      <c r="C279" s="11">
        <v>4.0</v>
      </c>
      <c r="D279" s="56"/>
    </row>
    <row r="280" ht="27.75" customHeight="1">
      <c r="A280" s="52">
        <v>46176.0</v>
      </c>
      <c r="B280" s="11" t="s">
        <v>54</v>
      </c>
      <c r="C280" s="11">
        <v>4.0</v>
      </c>
      <c r="D280" s="56"/>
    </row>
    <row r="281" ht="27.75" customHeight="1">
      <c r="A281" s="52">
        <v>46176.0</v>
      </c>
      <c r="B281" s="11" t="s">
        <v>54</v>
      </c>
      <c r="C281" s="11">
        <v>4.0</v>
      </c>
      <c r="D281" s="56"/>
    </row>
    <row r="282" ht="27.75" customHeight="1">
      <c r="A282" s="52">
        <v>46177.0</v>
      </c>
      <c r="B282" s="11" t="s">
        <v>66</v>
      </c>
      <c r="C282" s="11">
        <v>4.0</v>
      </c>
      <c r="D282" s="56"/>
    </row>
    <row r="283" ht="27.75" customHeight="1">
      <c r="A283" s="52">
        <v>46177.0</v>
      </c>
      <c r="B283" s="11" t="s">
        <v>66</v>
      </c>
      <c r="C283" s="11">
        <v>4.0</v>
      </c>
      <c r="D283" s="56"/>
    </row>
    <row r="284" ht="27.75" customHeight="1">
      <c r="A284" s="52">
        <v>46177.0</v>
      </c>
      <c r="B284" s="11" t="s">
        <v>66</v>
      </c>
      <c r="C284" s="11">
        <v>4.0</v>
      </c>
      <c r="D284" s="56"/>
    </row>
    <row r="285" ht="27.75" customHeight="1">
      <c r="A285" s="52">
        <v>46177.0</v>
      </c>
      <c r="B285" s="11" t="s">
        <v>67</v>
      </c>
      <c r="C285" s="11">
        <v>4.0</v>
      </c>
      <c r="D285" s="56"/>
    </row>
    <row r="286" ht="27.75" customHeight="1">
      <c r="A286" s="52">
        <v>46177.0</v>
      </c>
      <c r="B286" s="11" t="s">
        <v>67</v>
      </c>
      <c r="C286" s="11">
        <v>4.0</v>
      </c>
      <c r="D286" s="56"/>
    </row>
    <row r="287" ht="27.75" customHeight="1">
      <c r="A287" s="52">
        <v>46177.0</v>
      </c>
      <c r="B287" s="11" t="s">
        <v>54</v>
      </c>
      <c r="C287" s="11">
        <v>4.0</v>
      </c>
      <c r="D287" s="54" t="s">
        <v>215</v>
      </c>
    </row>
    <row r="288" ht="27.75" customHeight="1">
      <c r="A288" s="52">
        <v>46177.0</v>
      </c>
      <c r="B288" s="11" t="s">
        <v>54</v>
      </c>
      <c r="C288" s="11">
        <v>4.0</v>
      </c>
      <c r="D288" s="56"/>
    </row>
    <row r="289" ht="27.75" customHeight="1">
      <c r="A289" s="52">
        <v>46177.0</v>
      </c>
      <c r="B289" s="11" t="s">
        <v>54</v>
      </c>
      <c r="C289" s="11">
        <v>4.0</v>
      </c>
      <c r="D289" s="56"/>
    </row>
    <row r="290" ht="27.75" customHeight="1">
      <c r="A290" s="52">
        <v>46177.0</v>
      </c>
      <c r="B290" s="11" t="s">
        <v>66</v>
      </c>
      <c r="C290" s="11">
        <v>4.0</v>
      </c>
      <c r="D290" s="56"/>
    </row>
    <row r="291" ht="27.75" customHeight="1">
      <c r="A291" s="52">
        <v>46177.0</v>
      </c>
      <c r="B291" s="11" t="s">
        <v>66</v>
      </c>
      <c r="C291" s="11">
        <v>4.0</v>
      </c>
      <c r="D291" s="54" t="s">
        <v>216</v>
      </c>
    </row>
    <row r="292" ht="27.75" customHeight="1">
      <c r="A292" s="52">
        <v>46178.0</v>
      </c>
      <c r="B292" s="11" t="s">
        <v>66</v>
      </c>
      <c r="C292" s="11">
        <v>4.0</v>
      </c>
      <c r="D292" s="56"/>
    </row>
    <row r="293" ht="27.75" customHeight="1">
      <c r="A293" s="52">
        <v>46179.0</v>
      </c>
      <c r="B293" s="11" t="s">
        <v>54</v>
      </c>
      <c r="C293" s="11">
        <v>4.0</v>
      </c>
      <c r="D293" s="54" t="s">
        <v>217</v>
      </c>
    </row>
    <row r="294" ht="27.75" customHeight="1">
      <c r="A294" s="52">
        <v>46179.0</v>
      </c>
      <c r="B294" s="11" t="s">
        <v>54</v>
      </c>
      <c r="C294" s="11">
        <v>4.0</v>
      </c>
      <c r="D294" s="56"/>
    </row>
    <row r="295" ht="27.75" customHeight="1">
      <c r="A295" s="52">
        <v>46179.0</v>
      </c>
      <c r="B295" s="11" t="s">
        <v>54</v>
      </c>
      <c r="C295" s="11">
        <v>4.0</v>
      </c>
      <c r="D295" s="56"/>
    </row>
    <row r="296" ht="27.75" customHeight="1">
      <c r="A296" s="52">
        <v>46180.0</v>
      </c>
      <c r="B296" s="11" t="s">
        <v>66</v>
      </c>
      <c r="C296" s="11">
        <v>4.0</v>
      </c>
      <c r="D296" s="56"/>
    </row>
    <row r="297" ht="27.75" customHeight="1">
      <c r="A297" s="52">
        <v>46180.0</v>
      </c>
      <c r="B297" s="11" t="s">
        <v>66</v>
      </c>
      <c r="C297" s="11">
        <v>4.0</v>
      </c>
      <c r="D297" s="56"/>
    </row>
    <row r="298" ht="27.75" customHeight="1">
      <c r="A298" s="52">
        <v>46180.0</v>
      </c>
      <c r="B298" s="11" t="s">
        <v>54</v>
      </c>
      <c r="C298" s="11">
        <v>4.0</v>
      </c>
      <c r="D298" s="56"/>
    </row>
    <row r="299" ht="27.75" customHeight="1">
      <c r="A299" s="52">
        <v>46180.0</v>
      </c>
      <c r="B299" s="11" t="s">
        <v>54</v>
      </c>
      <c r="C299" s="11">
        <v>4.0</v>
      </c>
      <c r="D299" s="56"/>
    </row>
    <row r="300" ht="27.75" customHeight="1">
      <c r="A300" s="52">
        <v>46180.0</v>
      </c>
      <c r="B300" s="11" t="s">
        <v>54</v>
      </c>
      <c r="C300" s="11">
        <v>4.0</v>
      </c>
      <c r="D300" s="56"/>
    </row>
    <row r="301" ht="27.75" customHeight="1">
      <c r="A301" s="52">
        <v>46180.0</v>
      </c>
      <c r="B301" s="11" t="s">
        <v>67</v>
      </c>
      <c r="C301" s="11">
        <v>4.0</v>
      </c>
      <c r="D301" s="56"/>
    </row>
    <row r="302" ht="27.75" customHeight="1">
      <c r="A302" s="52">
        <v>46180.0</v>
      </c>
      <c r="B302" s="11" t="s">
        <v>67</v>
      </c>
      <c r="C302" s="11">
        <v>4.0</v>
      </c>
      <c r="D302" s="56"/>
    </row>
    <row r="303" ht="27.75" customHeight="1">
      <c r="A303" s="52">
        <v>46180.0</v>
      </c>
      <c r="B303" s="11" t="s">
        <v>67</v>
      </c>
      <c r="C303" s="11">
        <v>4.0</v>
      </c>
      <c r="D303" s="56"/>
    </row>
    <row r="304" ht="27.75" customHeight="1">
      <c r="A304" s="52">
        <v>46180.0</v>
      </c>
      <c r="B304" s="11" t="s">
        <v>66</v>
      </c>
      <c r="C304" s="11">
        <v>4.0</v>
      </c>
      <c r="D304" s="56"/>
    </row>
    <row r="305" ht="27.75" customHeight="1">
      <c r="A305" s="52">
        <v>46181.0</v>
      </c>
      <c r="B305" s="11" t="s">
        <v>66</v>
      </c>
      <c r="C305" s="11">
        <v>4.0</v>
      </c>
      <c r="D305" s="56"/>
    </row>
    <row r="306" ht="27.75" customHeight="1">
      <c r="A306" s="52">
        <v>46181.0</v>
      </c>
      <c r="B306" s="11" t="s">
        <v>66</v>
      </c>
      <c r="C306" s="11">
        <v>4.0</v>
      </c>
      <c r="D306" s="56"/>
    </row>
    <row r="307" ht="27.75" customHeight="1">
      <c r="A307" s="52">
        <v>46181.0</v>
      </c>
      <c r="B307" s="11" t="s">
        <v>54</v>
      </c>
      <c r="C307" s="11">
        <v>4.0</v>
      </c>
      <c r="D307" s="56"/>
    </row>
    <row r="308" ht="27.75" customHeight="1">
      <c r="A308" s="52">
        <v>46181.0</v>
      </c>
      <c r="B308" s="11" t="s">
        <v>54</v>
      </c>
      <c r="C308" s="11">
        <v>4.0</v>
      </c>
      <c r="D308" s="56"/>
    </row>
    <row r="309" ht="27.75" customHeight="1">
      <c r="A309" s="52">
        <v>46181.0</v>
      </c>
      <c r="B309" s="11" t="s">
        <v>67</v>
      </c>
      <c r="C309" s="11">
        <v>4.0</v>
      </c>
      <c r="D309" s="56"/>
    </row>
    <row r="310" ht="27.75" customHeight="1">
      <c r="A310" s="52">
        <v>46181.0</v>
      </c>
      <c r="B310" s="11" t="s">
        <v>67</v>
      </c>
      <c r="C310" s="11">
        <v>4.0</v>
      </c>
      <c r="D310" s="56"/>
    </row>
    <row r="311" ht="27.75" customHeight="1">
      <c r="A311" s="52">
        <v>46181.0</v>
      </c>
      <c r="B311" s="11" t="s">
        <v>67</v>
      </c>
      <c r="C311" s="11">
        <v>4.0</v>
      </c>
      <c r="D311" s="56"/>
    </row>
    <row r="312" ht="27.75" customHeight="1">
      <c r="A312" s="52">
        <v>46181.0</v>
      </c>
      <c r="B312" s="11" t="s">
        <v>66</v>
      </c>
      <c r="C312" s="11">
        <v>4.0</v>
      </c>
      <c r="D312" s="56"/>
    </row>
    <row r="313" ht="27.75" customHeight="1">
      <c r="A313" s="52">
        <v>46182.0</v>
      </c>
      <c r="B313" s="11" t="s">
        <v>66</v>
      </c>
      <c r="C313" s="11">
        <v>4.0</v>
      </c>
      <c r="D313" s="56"/>
    </row>
    <row r="314" ht="27.75" customHeight="1">
      <c r="A314" s="52">
        <v>46182.0</v>
      </c>
      <c r="B314" s="11" t="s">
        <v>66</v>
      </c>
      <c r="C314" s="11">
        <v>4.0</v>
      </c>
      <c r="D314" s="56"/>
    </row>
    <row r="315" ht="27.75" customHeight="1">
      <c r="A315" s="52">
        <v>46182.0</v>
      </c>
      <c r="B315" s="11" t="s">
        <v>54</v>
      </c>
      <c r="C315" s="11">
        <v>4.0</v>
      </c>
      <c r="D315" s="56"/>
    </row>
    <row r="316" ht="27.75" customHeight="1">
      <c r="A316" s="52">
        <v>46182.0</v>
      </c>
      <c r="B316" s="11" t="s">
        <v>54</v>
      </c>
      <c r="C316" s="11">
        <v>4.0</v>
      </c>
      <c r="D316" s="56"/>
    </row>
    <row r="317" ht="27.75" customHeight="1">
      <c r="A317" s="52">
        <v>46182.0</v>
      </c>
      <c r="B317" s="11" t="s">
        <v>54</v>
      </c>
      <c r="C317" s="11">
        <v>4.0</v>
      </c>
      <c r="D317" s="56"/>
    </row>
    <row r="318" ht="27.75" customHeight="1">
      <c r="A318" s="52">
        <v>46182.0</v>
      </c>
      <c r="B318" s="11" t="s">
        <v>54</v>
      </c>
      <c r="C318" s="11">
        <v>4.0</v>
      </c>
      <c r="D318" s="56"/>
    </row>
    <row r="319" ht="27.75" customHeight="1">
      <c r="A319" s="52">
        <v>46182.0</v>
      </c>
      <c r="B319" s="11" t="s">
        <v>67</v>
      </c>
      <c r="C319" s="11">
        <v>4.0</v>
      </c>
      <c r="D319" s="56"/>
    </row>
    <row r="320" ht="27.75" customHeight="1">
      <c r="A320" s="52">
        <v>46182.0</v>
      </c>
      <c r="B320" s="11" t="s">
        <v>67</v>
      </c>
      <c r="C320" s="11">
        <v>4.0</v>
      </c>
      <c r="D320" s="56"/>
    </row>
    <row r="321" ht="27.75" customHeight="1">
      <c r="A321" s="52">
        <v>46182.0</v>
      </c>
      <c r="B321" s="11" t="s">
        <v>67</v>
      </c>
      <c r="C321" s="11">
        <v>4.0</v>
      </c>
      <c r="D321" s="56"/>
    </row>
    <row r="322" ht="27.75" customHeight="1">
      <c r="A322" s="52">
        <v>46182.0</v>
      </c>
      <c r="B322" s="11" t="s">
        <v>67</v>
      </c>
      <c r="C322" s="11">
        <v>4.0</v>
      </c>
      <c r="D322" s="56"/>
    </row>
    <row r="323" ht="27.75" customHeight="1">
      <c r="A323" s="52">
        <v>46182.0</v>
      </c>
      <c r="B323" s="11" t="s">
        <v>67</v>
      </c>
      <c r="C323" s="11">
        <v>4.0</v>
      </c>
      <c r="D323" s="56"/>
    </row>
    <row r="324" ht="27.75" customHeight="1">
      <c r="A324" s="52">
        <v>46182.0</v>
      </c>
      <c r="B324" s="11" t="s">
        <v>67</v>
      </c>
      <c r="C324" s="11">
        <v>4.0</v>
      </c>
      <c r="D324" s="56"/>
    </row>
    <row r="325" ht="27.75" customHeight="1">
      <c r="A325" s="52">
        <v>46182.0</v>
      </c>
      <c r="B325" s="11" t="s">
        <v>66</v>
      </c>
      <c r="C325" s="11">
        <v>4.0</v>
      </c>
      <c r="D325" s="54" t="s">
        <v>218</v>
      </c>
    </row>
    <row r="326" ht="27.75" customHeight="1">
      <c r="A326" s="52">
        <v>46183.0</v>
      </c>
      <c r="B326" s="11" t="s">
        <v>66</v>
      </c>
      <c r="C326" s="11">
        <v>4.0</v>
      </c>
      <c r="D326" s="54" t="s">
        <v>219</v>
      </c>
    </row>
    <row r="327" ht="27.75" customHeight="1">
      <c r="A327" s="52">
        <v>46183.0</v>
      </c>
      <c r="B327" s="11" t="s">
        <v>54</v>
      </c>
      <c r="C327" s="11">
        <v>4.0</v>
      </c>
      <c r="D327" s="56"/>
    </row>
    <row r="328" ht="27.75" customHeight="1">
      <c r="A328" s="52">
        <v>46183.0</v>
      </c>
      <c r="B328" s="11" t="s">
        <v>54</v>
      </c>
      <c r="C328" s="11">
        <v>4.0</v>
      </c>
      <c r="D328" s="56"/>
    </row>
    <row r="329" ht="27.75" customHeight="1">
      <c r="A329" s="52">
        <v>46183.0</v>
      </c>
      <c r="B329" s="11" t="s">
        <v>54</v>
      </c>
      <c r="C329" s="11">
        <v>4.0</v>
      </c>
      <c r="D329" s="56"/>
    </row>
    <row r="330" ht="27.75" customHeight="1">
      <c r="A330" s="52">
        <v>46183.0</v>
      </c>
      <c r="B330" s="11" t="s">
        <v>67</v>
      </c>
      <c r="C330" s="11">
        <v>4.0</v>
      </c>
      <c r="D330" s="56"/>
    </row>
    <row r="331" ht="27.75" customHeight="1">
      <c r="A331" s="52">
        <v>46183.0</v>
      </c>
      <c r="B331" s="11" t="s">
        <v>67</v>
      </c>
      <c r="C331" s="11">
        <v>4.0</v>
      </c>
      <c r="D331" s="56"/>
    </row>
    <row r="332" ht="27.75" customHeight="1">
      <c r="A332" s="52">
        <v>46183.0</v>
      </c>
      <c r="B332" s="11" t="s">
        <v>67</v>
      </c>
      <c r="C332" s="11">
        <v>4.0</v>
      </c>
      <c r="D332" s="56"/>
    </row>
    <row r="333" ht="27.75" customHeight="1">
      <c r="A333" s="52">
        <v>46183.0</v>
      </c>
      <c r="B333" s="11" t="s">
        <v>66</v>
      </c>
      <c r="C333" s="11">
        <v>4.0</v>
      </c>
      <c r="D333" s="56"/>
    </row>
    <row r="334" ht="27.75" customHeight="1">
      <c r="A334" s="52">
        <v>46184.0</v>
      </c>
      <c r="B334" s="11" t="s">
        <v>66</v>
      </c>
      <c r="C334" s="11">
        <v>4.0</v>
      </c>
      <c r="D334" s="56"/>
    </row>
    <row r="335" ht="27.75" customHeight="1">
      <c r="A335" s="52">
        <v>46184.0</v>
      </c>
      <c r="B335" s="11" t="s">
        <v>66</v>
      </c>
      <c r="C335" s="11">
        <v>4.0</v>
      </c>
      <c r="D335" s="56"/>
    </row>
  </sheetData>
  <mergeCells count="3">
    <mergeCell ref="A1:D1"/>
    <mergeCell ref="A2:D2"/>
    <mergeCell ref="A3:D3"/>
  </mergeCells>
  <printOptions/>
  <pageMargins bottom="1.0" footer="0.0" header="0.0" left="0.75" right="0.75" top="1.0"/>
  <pageSetup paperSize="9" orientation="portrait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12.0"/>
    <col customWidth="1" min="2" max="2" width="9.0"/>
    <col customWidth="1" min="3" max="3" width="14.0"/>
    <col customWidth="1" min="4" max="4" width="12.0"/>
    <col customWidth="1" min="5" max="5" width="11.0"/>
    <col customWidth="1" min="6" max="6" width="18.0"/>
    <col customWidth="1" min="7" max="7" width="13.0"/>
    <col customWidth="1" min="8" max="8" width="11.0"/>
    <col customWidth="1" min="9" max="9" width="24.0"/>
    <col customWidth="1" min="10" max="11" width="8.57"/>
  </cols>
  <sheetData>
    <row r="1" ht="18.75" customHeight="1">
      <c r="A1" s="1" t="s">
        <v>220</v>
      </c>
    </row>
    <row r="2" ht="25.5" customHeight="1">
      <c r="A2" s="30" t="s">
        <v>221</v>
      </c>
      <c r="B2" s="31"/>
      <c r="C2" s="31"/>
      <c r="D2" s="31"/>
      <c r="E2" s="31"/>
      <c r="F2" s="31"/>
      <c r="G2" s="31"/>
      <c r="H2" s="31"/>
      <c r="I2" s="32"/>
    </row>
    <row r="3" ht="21.75" customHeight="1">
      <c r="A3" s="10" t="s">
        <v>222</v>
      </c>
    </row>
    <row r="4" ht="31.5" customHeight="1">
      <c r="A4" s="7" t="s">
        <v>43</v>
      </c>
      <c r="B4" s="7" t="s">
        <v>44</v>
      </c>
      <c r="C4" s="7" t="s">
        <v>223</v>
      </c>
      <c r="D4" s="7" t="s">
        <v>224</v>
      </c>
      <c r="E4" s="7" t="s">
        <v>225</v>
      </c>
      <c r="F4" s="7" t="s">
        <v>226</v>
      </c>
      <c r="G4" s="7" t="s">
        <v>227</v>
      </c>
      <c r="H4" s="7" t="s">
        <v>228</v>
      </c>
      <c r="I4" s="7" t="s">
        <v>229</v>
      </c>
    </row>
    <row r="5" ht="14.25" customHeight="1">
      <c r="A5" s="57">
        <v>46185.0</v>
      </c>
      <c r="B5" s="58" t="s">
        <v>66</v>
      </c>
      <c r="C5" s="58" t="s">
        <v>230</v>
      </c>
      <c r="D5" s="58" t="s">
        <v>31</v>
      </c>
      <c r="E5" s="58">
        <v>52.0</v>
      </c>
      <c r="F5" s="58">
        <v>65.0</v>
      </c>
      <c r="G5" s="58">
        <v>4.0</v>
      </c>
      <c r="H5" s="58">
        <v>3.0</v>
      </c>
      <c r="I5" s="58"/>
    </row>
    <row r="6" ht="14.25" customHeight="1">
      <c r="A6" s="57">
        <v>46185.0</v>
      </c>
      <c r="B6" s="58" t="s">
        <v>66</v>
      </c>
      <c r="C6" s="58"/>
      <c r="D6" s="58" t="s">
        <v>28</v>
      </c>
      <c r="E6" s="58"/>
      <c r="F6" s="58"/>
      <c r="G6" s="58">
        <v>1.0</v>
      </c>
      <c r="H6" s="58">
        <v>1.0</v>
      </c>
      <c r="I6" s="58"/>
    </row>
    <row r="7" ht="14.25" customHeight="1">
      <c r="A7" s="57">
        <v>46185.0</v>
      </c>
      <c r="B7" s="58" t="s">
        <v>66</v>
      </c>
      <c r="C7" s="58"/>
      <c r="D7" s="58" t="s">
        <v>231</v>
      </c>
      <c r="E7" s="58"/>
      <c r="F7" s="58"/>
      <c r="G7" s="58"/>
      <c r="H7" s="58">
        <v>1.0</v>
      </c>
      <c r="I7" s="58"/>
    </row>
    <row r="8" ht="14.25" customHeight="1">
      <c r="A8" s="57">
        <v>46185.0</v>
      </c>
      <c r="B8" s="58" t="s">
        <v>54</v>
      </c>
      <c r="C8" s="58" t="s">
        <v>232</v>
      </c>
      <c r="D8" s="58" t="s">
        <v>31</v>
      </c>
      <c r="E8" s="58">
        <v>25.0</v>
      </c>
      <c r="F8" s="58"/>
      <c r="G8" s="58">
        <v>10.0</v>
      </c>
      <c r="H8" s="58">
        <v>1.0</v>
      </c>
      <c r="I8" s="58" t="s">
        <v>233</v>
      </c>
    </row>
    <row r="9" ht="14.25" customHeight="1">
      <c r="A9" s="57">
        <v>46185.0</v>
      </c>
      <c r="B9" s="58" t="s">
        <v>54</v>
      </c>
      <c r="C9" s="58" t="s">
        <v>234</v>
      </c>
      <c r="D9" s="58" t="s">
        <v>235</v>
      </c>
      <c r="E9" s="58">
        <v>5.0</v>
      </c>
      <c r="F9" s="58"/>
      <c r="G9" s="58"/>
      <c r="H9" s="58"/>
      <c r="I9" s="58" t="s">
        <v>236</v>
      </c>
    </row>
    <row r="10" ht="14.25" customHeight="1">
      <c r="A10" s="57">
        <v>46185.0</v>
      </c>
      <c r="B10" s="58" t="s">
        <v>54</v>
      </c>
      <c r="C10" s="58"/>
      <c r="D10" s="58" t="s">
        <v>28</v>
      </c>
      <c r="E10" s="58"/>
      <c r="F10" s="58"/>
      <c r="G10" s="58"/>
      <c r="H10" s="58">
        <v>1.0</v>
      </c>
      <c r="I10" s="58" t="s">
        <v>236</v>
      </c>
    </row>
    <row r="11" ht="14.25" customHeight="1">
      <c r="A11" s="57">
        <v>46184.0</v>
      </c>
      <c r="B11" s="58" t="s">
        <v>66</v>
      </c>
      <c r="C11" s="58" t="s">
        <v>230</v>
      </c>
      <c r="D11" s="58" t="s">
        <v>31</v>
      </c>
      <c r="E11" s="58">
        <v>10.0</v>
      </c>
      <c r="F11" s="58">
        <v>74.0</v>
      </c>
      <c r="G11" s="58">
        <v>9.0</v>
      </c>
      <c r="H11" s="58">
        <v>2.0</v>
      </c>
      <c r="I11" s="58"/>
    </row>
    <row r="12" ht="14.25" customHeight="1">
      <c r="A12" s="57">
        <v>46184.0</v>
      </c>
      <c r="B12" s="58" t="s">
        <v>66</v>
      </c>
      <c r="C12" s="58"/>
      <c r="D12" s="58" t="s">
        <v>235</v>
      </c>
      <c r="E12" s="58">
        <v>15.0</v>
      </c>
      <c r="F12" s="58">
        <v>42.0</v>
      </c>
      <c r="G12" s="58"/>
      <c r="H12" s="58"/>
      <c r="I12" s="58"/>
    </row>
    <row r="13" ht="14.25" customHeight="1">
      <c r="A13" s="57">
        <v>46184.0</v>
      </c>
      <c r="B13" s="58" t="s">
        <v>66</v>
      </c>
      <c r="C13" s="58"/>
      <c r="D13" s="58" t="s">
        <v>237</v>
      </c>
      <c r="E13" s="58"/>
      <c r="F13" s="58"/>
      <c r="G13" s="58">
        <v>1.0</v>
      </c>
      <c r="H13" s="58"/>
      <c r="I13" s="58"/>
    </row>
    <row r="14" ht="14.25" customHeight="1">
      <c r="A14" s="57">
        <v>46184.0</v>
      </c>
      <c r="B14" s="58"/>
      <c r="C14" s="58"/>
      <c r="D14" s="58" t="s">
        <v>231</v>
      </c>
      <c r="E14" s="58"/>
      <c r="F14" s="58"/>
      <c r="G14" s="58">
        <v>2.0</v>
      </c>
      <c r="H14" s="58"/>
      <c r="I14" s="58"/>
    </row>
    <row r="15" ht="14.25" customHeight="1">
      <c r="A15" s="57">
        <v>46183.0</v>
      </c>
      <c r="B15" s="58" t="s">
        <v>54</v>
      </c>
      <c r="C15" s="58" t="s">
        <v>238</v>
      </c>
      <c r="D15" s="58" t="s">
        <v>31</v>
      </c>
      <c r="E15" s="58"/>
      <c r="F15" s="58">
        <v>35.0</v>
      </c>
      <c r="G15" s="58">
        <v>8.0</v>
      </c>
      <c r="H15" s="58"/>
      <c r="I15" s="58" t="s">
        <v>239</v>
      </c>
    </row>
    <row r="16" ht="14.25" customHeight="1">
      <c r="A16" s="57">
        <v>46183.0</v>
      </c>
      <c r="B16" s="58" t="s">
        <v>54</v>
      </c>
      <c r="C16" s="58"/>
      <c r="D16" s="58" t="s">
        <v>235</v>
      </c>
      <c r="E16" s="58">
        <v>2.0</v>
      </c>
      <c r="F16" s="58"/>
      <c r="G16" s="58"/>
      <c r="H16" s="58"/>
      <c r="I16" s="58" t="s">
        <v>236</v>
      </c>
    </row>
    <row r="17" ht="14.25" customHeight="1">
      <c r="A17" s="57">
        <v>46183.0</v>
      </c>
      <c r="B17" s="58" t="s">
        <v>54</v>
      </c>
      <c r="C17" s="58" t="s">
        <v>240</v>
      </c>
      <c r="D17" s="58" t="s">
        <v>31</v>
      </c>
      <c r="E17" s="58"/>
      <c r="F17" s="58">
        <v>3.0</v>
      </c>
      <c r="G17" s="58"/>
      <c r="H17" s="58"/>
      <c r="I17" s="58" t="s">
        <v>236</v>
      </c>
    </row>
    <row r="18" ht="14.25" customHeight="1">
      <c r="A18" s="57">
        <v>46183.0</v>
      </c>
      <c r="B18" s="58" t="s">
        <v>66</v>
      </c>
      <c r="C18" s="58" t="s">
        <v>241</v>
      </c>
      <c r="D18" s="58" t="s">
        <v>231</v>
      </c>
      <c r="E18" s="58">
        <v>5.0</v>
      </c>
      <c r="F18" s="58">
        <v>14.0</v>
      </c>
      <c r="G18" s="58"/>
      <c r="H18" s="58" t="s">
        <v>242</v>
      </c>
      <c r="I18" s="58"/>
    </row>
    <row r="19" ht="14.25" customHeight="1">
      <c r="A19" s="57">
        <v>46183.0</v>
      </c>
      <c r="B19" s="58" t="s">
        <v>66</v>
      </c>
      <c r="C19" s="58" t="s">
        <v>234</v>
      </c>
      <c r="D19" s="58" t="s">
        <v>243</v>
      </c>
      <c r="E19" s="58">
        <v>11.0</v>
      </c>
      <c r="F19" s="58">
        <v>28.0</v>
      </c>
      <c r="G19" s="58"/>
      <c r="H19" s="58" t="s">
        <v>244</v>
      </c>
      <c r="I19" s="58"/>
    </row>
    <row r="20" ht="14.25" customHeight="1">
      <c r="A20" s="57">
        <v>46183.0</v>
      </c>
      <c r="B20" s="58" t="s">
        <v>66</v>
      </c>
      <c r="C20" s="58" t="s">
        <v>240</v>
      </c>
      <c r="D20" s="58" t="s">
        <v>31</v>
      </c>
      <c r="E20" s="58"/>
      <c r="F20" s="58">
        <v>55.0</v>
      </c>
      <c r="G20" s="58"/>
      <c r="H20" s="58">
        <v>2.0</v>
      </c>
      <c r="I20" s="58"/>
    </row>
    <row r="21" ht="14.25" customHeight="1">
      <c r="A21" s="57">
        <v>46183.0</v>
      </c>
      <c r="B21" s="58" t="s">
        <v>66</v>
      </c>
      <c r="C21" s="58"/>
      <c r="D21" s="58" t="s">
        <v>237</v>
      </c>
      <c r="E21" s="58"/>
      <c r="F21" s="58">
        <v>2.0</v>
      </c>
      <c r="G21" s="58">
        <v>2.0</v>
      </c>
      <c r="H21" s="58"/>
      <c r="I21" s="58"/>
    </row>
    <row r="22" ht="14.25" customHeight="1">
      <c r="A22" s="57">
        <v>46182.0</v>
      </c>
      <c r="B22" s="58" t="s">
        <v>66</v>
      </c>
      <c r="C22" s="58" t="s">
        <v>238</v>
      </c>
      <c r="D22" s="58" t="s">
        <v>25</v>
      </c>
      <c r="E22" s="58">
        <v>30.0</v>
      </c>
      <c r="F22" s="58">
        <v>50.0</v>
      </c>
      <c r="G22" s="58">
        <v>7.0</v>
      </c>
      <c r="H22" s="58"/>
      <c r="I22" s="58"/>
    </row>
    <row r="23" ht="14.25" customHeight="1">
      <c r="A23" s="57">
        <v>46182.0</v>
      </c>
      <c r="B23" s="58" t="s">
        <v>66</v>
      </c>
      <c r="C23" s="58"/>
      <c r="D23" s="58" t="s">
        <v>25</v>
      </c>
      <c r="E23" s="58"/>
      <c r="F23" s="58"/>
      <c r="G23" s="58">
        <v>5.0</v>
      </c>
      <c r="H23" s="58"/>
      <c r="I23" s="58"/>
    </row>
    <row r="24" ht="14.25" customHeight="1">
      <c r="A24" s="57">
        <v>46182.0</v>
      </c>
      <c r="B24" s="58" t="s">
        <v>66</v>
      </c>
      <c r="C24" s="58"/>
      <c r="D24" s="58" t="s">
        <v>25</v>
      </c>
      <c r="E24" s="58"/>
      <c r="F24" s="58"/>
      <c r="G24" s="58">
        <v>1.0</v>
      </c>
      <c r="H24" s="58"/>
      <c r="I24" s="58"/>
    </row>
    <row r="25" ht="14.25" customHeight="1">
      <c r="A25" s="57">
        <v>46182.0</v>
      </c>
      <c r="B25" s="58" t="s">
        <v>66</v>
      </c>
      <c r="C25" s="58"/>
      <c r="D25" s="58" t="s">
        <v>231</v>
      </c>
      <c r="E25" s="58"/>
      <c r="F25" s="58"/>
      <c r="G25" s="58">
        <v>2.0</v>
      </c>
      <c r="H25" s="58"/>
      <c r="I25" s="58"/>
    </row>
    <row r="26" ht="14.25" customHeight="1">
      <c r="A26" s="57">
        <v>46181.0</v>
      </c>
      <c r="B26" s="58" t="s">
        <v>66</v>
      </c>
      <c r="C26" s="58" t="s">
        <v>245</v>
      </c>
      <c r="D26" s="58" t="s">
        <v>25</v>
      </c>
      <c r="E26" s="58">
        <v>38.0</v>
      </c>
      <c r="F26" s="58">
        <v>56.0</v>
      </c>
      <c r="G26" s="58">
        <v>6.0</v>
      </c>
      <c r="H26" s="58"/>
      <c r="I26" s="58"/>
    </row>
    <row r="27" ht="14.25" customHeight="1">
      <c r="A27" s="57">
        <v>46181.0</v>
      </c>
      <c r="B27" s="58" t="s">
        <v>66</v>
      </c>
      <c r="C27" s="58"/>
      <c r="D27" s="58" t="s">
        <v>25</v>
      </c>
      <c r="E27" s="58"/>
      <c r="F27" s="58"/>
      <c r="G27" s="58">
        <v>4.0</v>
      </c>
      <c r="H27" s="58"/>
      <c r="I27" s="58"/>
    </row>
    <row r="28" ht="14.25" customHeight="1">
      <c r="A28" s="57">
        <v>46177.0</v>
      </c>
      <c r="B28" s="58" t="s">
        <v>66</v>
      </c>
      <c r="C28" s="58" t="s">
        <v>246</v>
      </c>
      <c r="D28" s="58" t="s">
        <v>237</v>
      </c>
      <c r="E28" s="58"/>
      <c r="F28" s="58">
        <v>46.0</v>
      </c>
      <c r="G28" s="58">
        <v>3.0</v>
      </c>
      <c r="H28" s="58"/>
      <c r="I28" s="58"/>
    </row>
    <row r="29" ht="14.25" customHeight="1">
      <c r="A29" s="57">
        <v>46177.0</v>
      </c>
      <c r="B29" s="58" t="s">
        <v>66</v>
      </c>
      <c r="C29" s="58"/>
      <c r="D29" s="58" t="s">
        <v>237</v>
      </c>
      <c r="E29" s="58"/>
      <c r="F29" s="58"/>
      <c r="G29" s="58">
        <v>2.0</v>
      </c>
      <c r="H29" s="58"/>
      <c r="I29" s="58"/>
    </row>
    <row r="30" ht="14.25" customHeight="1">
      <c r="A30" s="57">
        <v>46176.0</v>
      </c>
      <c r="B30" s="58" t="s">
        <v>66</v>
      </c>
      <c r="C30" s="58" t="s">
        <v>247</v>
      </c>
      <c r="D30" s="58" t="s">
        <v>25</v>
      </c>
      <c r="E30" s="58">
        <v>3.0</v>
      </c>
      <c r="F30" s="58">
        <v>9.0</v>
      </c>
      <c r="G30" s="58">
        <v>4.0</v>
      </c>
      <c r="H30" s="58"/>
      <c r="I30" s="58"/>
    </row>
    <row r="31" ht="14.25" customHeight="1">
      <c r="A31" s="57">
        <v>46176.0</v>
      </c>
      <c r="B31" s="58" t="s">
        <v>66</v>
      </c>
      <c r="C31" s="58" t="s">
        <v>248</v>
      </c>
      <c r="D31" s="58" t="s">
        <v>37</v>
      </c>
      <c r="E31" s="58">
        <v>18.0</v>
      </c>
      <c r="F31" s="58">
        <v>37.0</v>
      </c>
      <c r="G31" s="58">
        <v>4.0</v>
      </c>
      <c r="H31" s="58"/>
      <c r="I31" s="58"/>
    </row>
    <row r="32" ht="14.25" customHeight="1">
      <c r="A32" s="57">
        <v>46177.0</v>
      </c>
      <c r="B32" s="58" t="s">
        <v>54</v>
      </c>
      <c r="C32" s="58" t="s">
        <v>246</v>
      </c>
      <c r="D32" s="58" t="s">
        <v>237</v>
      </c>
      <c r="E32" s="58">
        <v>52.0</v>
      </c>
      <c r="F32" s="58">
        <v>61.0</v>
      </c>
      <c r="G32" s="58">
        <v>7.0</v>
      </c>
      <c r="H32" s="58">
        <v>6.0</v>
      </c>
      <c r="I32" s="58" t="s">
        <v>239</v>
      </c>
    </row>
    <row r="33" ht="14.25" customHeight="1">
      <c r="A33" s="57">
        <v>46177.0</v>
      </c>
      <c r="B33" s="58" t="s">
        <v>54</v>
      </c>
      <c r="C33" s="58" t="s">
        <v>249</v>
      </c>
      <c r="D33" s="58" t="s">
        <v>237</v>
      </c>
      <c r="E33" s="58"/>
      <c r="F33" s="58"/>
      <c r="G33" s="58">
        <v>4.0</v>
      </c>
      <c r="H33" s="58"/>
      <c r="I33" s="58" t="s">
        <v>236</v>
      </c>
    </row>
    <row r="34" ht="14.25" customHeight="1">
      <c r="A34" s="57">
        <v>46174.0</v>
      </c>
      <c r="B34" s="58" t="s">
        <v>54</v>
      </c>
      <c r="C34" s="58" t="s">
        <v>247</v>
      </c>
      <c r="D34" s="58" t="s">
        <v>25</v>
      </c>
      <c r="E34" s="58">
        <v>24.0</v>
      </c>
      <c r="F34" s="58">
        <v>55.0</v>
      </c>
      <c r="G34" s="58">
        <v>10.0</v>
      </c>
      <c r="H34" s="58"/>
      <c r="I34" s="58" t="s">
        <v>250</v>
      </c>
    </row>
    <row r="35" ht="14.25" customHeight="1">
      <c r="A35" s="57">
        <v>46174.0</v>
      </c>
      <c r="B35" s="58" t="s">
        <v>54</v>
      </c>
      <c r="C35" s="58"/>
      <c r="D35" s="58" t="s">
        <v>25</v>
      </c>
      <c r="E35" s="58"/>
      <c r="F35" s="58"/>
      <c r="G35" s="58">
        <v>5.0</v>
      </c>
      <c r="H35" s="58"/>
      <c r="I35" s="58" t="s">
        <v>251</v>
      </c>
    </row>
    <row r="36" ht="14.25" customHeight="1">
      <c r="A36" s="57">
        <v>46174.0</v>
      </c>
      <c r="B36" s="58" t="s">
        <v>54</v>
      </c>
      <c r="C36" s="58" t="s">
        <v>252</v>
      </c>
      <c r="D36" s="58" t="s">
        <v>28</v>
      </c>
      <c r="E36" s="58">
        <v>2.0</v>
      </c>
      <c r="F36" s="58"/>
      <c r="G36" s="58"/>
      <c r="H36" s="58"/>
      <c r="I36" s="58" t="s">
        <v>253</v>
      </c>
    </row>
    <row r="37" ht="14.25" customHeight="1">
      <c r="A37" s="57">
        <v>46174.0</v>
      </c>
      <c r="B37" s="58" t="s">
        <v>66</v>
      </c>
      <c r="C37" s="58" t="s">
        <v>247</v>
      </c>
      <c r="D37" s="58" t="s">
        <v>25</v>
      </c>
      <c r="E37" s="58">
        <v>25.0</v>
      </c>
      <c r="F37" s="58">
        <v>73.0</v>
      </c>
      <c r="G37" s="58">
        <v>7.0</v>
      </c>
      <c r="H37" s="58"/>
      <c r="I37" s="58"/>
    </row>
    <row r="38" ht="14.25" customHeight="1">
      <c r="A38" s="57">
        <v>46174.0</v>
      </c>
      <c r="B38" s="58" t="s">
        <v>66</v>
      </c>
      <c r="C38" s="58" t="s">
        <v>254</v>
      </c>
      <c r="D38" s="58" t="s">
        <v>28</v>
      </c>
      <c r="E38" s="58">
        <v>18.0</v>
      </c>
      <c r="F38" s="58">
        <v>44.0</v>
      </c>
      <c r="G38" s="58"/>
      <c r="H38" s="58"/>
      <c r="I38" s="58"/>
    </row>
    <row r="39" ht="14.25" customHeight="1">
      <c r="A39" s="57">
        <v>46174.0</v>
      </c>
      <c r="B39" s="58" t="s">
        <v>66</v>
      </c>
      <c r="C39" s="58"/>
      <c r="D39" s="58" t="s">
        <v>25</v>
      </c>
      <c r="E39" s="58"/>
      <c r="F39" s="58"/>
      <c r="G39" s="58">
        <v>3.0</v>
      </c>
      <c r="H39" s="58"/>
      <c r="I39" s="58"/>
    </row>
    <row r="40" ht="14.25" customHeight="1">
      <c r="A40" s="57">
        <v>46178.0</v>
      </c>
      <c r="B40" s="58" t="s">
        <v>54</v>
      </c>
      <c r="C40" s="58" t="s">
        <v>246</v>
      </c>
      <c r="D40" s="58" t="s">
        <v>237</v>
      </c>
      <c r="E40" s="58"/>
      <c r="F40" s="58">
        <v>21.0</v>
      </c>
      <c r="G40" s="58">
        <v>10.0</v>
      </c>
      <c r="H40" s="58">
        <v>7.0</v>
      </c>
      <c r="I40" s="58" t="s">
        <v>250</v>
      </c>
    </row>
    <row r="41" ht="14.25" customHeight="1">
      <c r="A41" s="57">
        <v>46178.0</v>
      </c>
      <c r="B41" s="58" t="s">
        <v>54</v>
      </c>
      <c r="C41" s="58" t="s">
        <v>255</v>
      </c>
      <c r="D41" s="58" t="s">
        <v>231</v>
      </c>
      <c r="E41" s="58">
        <v>3.0</v>
      </c>
      <c r="F41" s="58"/>
      <c r="G41" s="58">
        <v>4.0</v>
      </c>
      <c r="H41" s="58"/>
      <c r="I41" s="58" t="s">
        <v>251</v>
      </c>
    </row>
    <row r="42" ht="14.25" customHeight="1">
      <c r="A42" s="57">
        <v>46178.0</v>
      </c>
      <c r="B42" s="58" t="s">
        <v>54</v>
      </c>
      <c r="C42" s="58" t="s">
        <v>256</v>
      </c>
      <c r="D42" s="58" t="s">
        <v>237</v>
      </c>
      <c r="E42" s="58"/>
      <c r="F42" s="58"/>
      <c r="G42" s="58">
        <v>4.0</v>
      </c>
      <c r="H42" s="58"/>
      <c r="I42" s="58" t="s">
        <v>251</v>
      </c>
    </row>
    <row r="43" ht="14.25" customHeight="1">
      <c r="A43" s="57">
        <v>46178.0</v>
      </c>
      <c r="B43" s="58" t="s">
        <v>54</v>
      </c>
      <c r="C43" s="58" t="s">
        <v>245</v>
      </c>
      <c r="D43" s="58" t="s">
        <v>25</v>
      </c>
      <c r="E43" s="58">
        <v>22.0</v>
      </c>
      <c r="F43" s="58">
        <v>27.0</v>
      </c>
      <c r="G43" s="58"/>
      <c r="H43" s="58"/>
      <c r="I43" s="58" t="s">
        <v>250</v>
      </c>
    </row>
    <row r="44" ht="14.25" customHeight="1">
      <c r="A44" s="57">
        <v>46178.0</v>
      </c>
      <c r="B44" s="58" t="s">
        <v>66</v>
      </c>
      <c r="C44" s="58"/>
      <c r="D44" s="58" t="s">
        <v>231</v>
      </c>
      <c r="E44" s="58">
        <v>12.0</v>
      </c>
      <c r="F44" s="58">
        <v>27.0</v>
      </c>
      <c r="G44" s="58">
        <v>1.0</v>
      </c>
      <c r="H44" s="58"/>
      <c r="I44" s="58"/>
    </row>
    <row r="45" ht="14.25" customHeight="1">
      <c r="A45" s="57">
        <v>46178.0</v>
      </c>
      <c r="B45" s="58" t="s">
        <v>66</v>
      </c>
      <c r="C45" s="58"/>
      <c r="D45" s="58" t="s">
        <v>237</v>
      </c>
      <c r="E45" s="58">
        <v>36.0</v>
      </c>
      <c r="F45" s="58"/>
      <c r="G45" s="58">
        <v>3.0</v>
      </c>
      <c r="H45" s="58"/>
      <c r="I45" s="58"/>
    </row>
    <row r="46" ht="14.25" customHeight="1">
      <c r="A46" s="57">
        <v>46178.0</v>
      </c>
      <c r="B46" s="58" t="s">
        <v>66</v>
      </c>
      <c r="C46" s="58"/>
      <c r="D46" s="58" t="s">
        <v>237</v>
      </c>
      <c r="E46" s="58"/>
      <c r="F46" s="58"/>
      <c r="G46" s="58">
        <v>4.0</v>
      </c>
      <c r="H46" s="58"/>
      <c r="I46" s="58"/>
    </row>
    <row r="47" ht="14.25" customHeight="1">
      <c r="A47" s="57">
        <v>46178.0</v>
      </c>
      <c r="B47" s="58" t="s">
        <v>66</v>
      </c>
      <c r="C47" s="58"/>
      <c r="D47" s="58" t="s">
        <v>28</v>
      </c>
      <c r="E47" s="58"/>
      <c r="F47" s="58"/>
      <c r="G47" s="58"/>
      <c r="H47" s="58">
        <v>1.0</v>
      </c>
      <c r="I47" s="58"/>
    </row>
    <row r="48" ht="14.25" customHeight="1">
      <c r="A48" s="57">
        <v>46179.0</v>
      </c>
      <c r="B48" s="58" t="s">
        <v>66</v>
      </c>
      <c r="C48" s="58" t="s">
        <v>257</v>
      </c>
      <c r="D48" s="58" t="s">
        <v>231</v>
      </c>
      <c r="E48" s="58">
        <v>8.0</v>
      </c>
      <c r="F48" s="58"/>
      <c r="G48" s="58"/>
      <c r="H48" s="58"/>
      <c r="I48" s="58"/>
    </row>
    <row r="49" ht="14.25" customHeight="1">
      <c r="A49" s="57">
        <v>46179.0</v>
      </c>
      <c r="B49" s="58" t="s">
        <v>66</v>
      </c>
      <c r="C49" s="58" t="s">
        <v>255</v>
      </c>
      <c r="D49" s="58" t="s">
        <v>25</v>
      </c>
      <c r="E49" s="58">
        <v>6.0</v>
      </c>
      <c r="F49" s="58">
        <v>58.0</v>
      </c>
      <c r="G49" s="58">
        <v>8.0</v>
      </c>
      <c r="H49" s="58"/>
      <c r="I49" s="58"/>
    </row>
    <row r="50" ht="14.25" customHeight="1">
      <c r="A50" s="57">
        <v>46179.0</v>
      </c>
      <c r="B50" s="58" t="s">
        <v>66</v>
      </c>
      <c r="C50" s="58"/>
      <c r="D50" s="58" t="s">
        <v>25</v>
      </c>
      <c r="E50" s="58"/>
      <c r="F50" s="58"/>
      <c r="G50" s="58">
        <v>1.0</v>
      </c>
      <c r="H50" s="58"/>
      <c r="I50" s="58"/>
    </row>
    <row r="51" ht="14.25" customHeight="1">
      <c r="A51" s="57">
        <v>46179.0</v>
      </c>
      <c r="B51" s="58" t="s">
        <v>54</v>
      </c>
      <c r="C51" s="58" t="s">
        <v>245</v>
      </c>
      <c r="D51" s="58" t="s">
        <v>25</v>
      </c>
      <c r="E51" s="58">
        <v>38.0</v>
      </c>
      <c r="F51" s="58">
        <v>50.0</v>
      </c>
      <c r="G51" s="58">
        <v>8.0</v>
      </c>
      <c r="H51" s="58"/>
      <c r="I51" s="58" t="s">
        <v>250</v>
      </c>
    </row>
    <row r="52" ht="14.25" customHeight="1">
      <c r="A52" s="57">
        <v>46179.0</v>
      </c>
      <c r="B52" s="58" t="s">
        <v>54</v>
      </c>
      <c r="C52" s="58" t="s">
        <v>258</v>
      </c>
      <c r="D52" s="58" t="s">
        <v>25</v>
      </c>
      <c r="E52" s="58"/>
      <c r="F52" s="58"/>
      <c r="G52" s="58">
        <v>1.0</v>
      </c>
      <c r="H52" s="58"/>
      <c r="I52" s="58" t="s">
        <v>251</v>
      </c>
    </row>
    <row r="53" ht="14.25" customHeight="1">
      <c r="A53" s="57">
        <v>46172.0</v>
      </c>
      <c r="B53" s="58" t="s">
        <v>66</v>
      </c>
      <c r="C53" s="58" t="s">
        <v>247</v>
      </c>
      <c r="D53" s="58" t="s">
        <v>25</v>
      </c>
      <c r="E53" s="58">
        <v>39.0</v>
      </c>
      <c r="F53" s="58">
        <v>51.0</v>
      </c>
      <c r="G53" s="58">
        <v>8.0</v>
      </c>
      <c r="H53" s="58"/>
      <c r="I53" s="58"/>
    </row>
    <row r="54" ht="14.25" customHeight="1">
      <c r="A54" s="57">
        <v>46172.0</v>
      </c>
      <c r="B54" s="58" t="s">
        <v>66</v>
      </c>
      <c r="C54" s="58" t="s">
        <v>259</v>
      </c>
      <c r="D54" s="58" t="s">
        <v>28</v>
      </c>
      <c r="E54" s="58">
        <v>3.0</v>
      </c>
      <c r="F54" s="58">
        <v>8.0</v>
      </c>
      <c r="G54" s="58"/>
      <c r="H54" s="58"/>
      <c r="I54" s="58"/>
    </row>
    <row r="55" ht="14.25" customHeight="1">
      <c r="A55" s="57">
        <v>46172.0</v>
      </c>
      <c r="B55" s="58" t="s">
        <v>66</v>
      </c>
      <c r="C55" s="58"/>
      <c r="D55" s="58" t="s">
        <v>25</v>
      </c>
      <c r="E55" s="58"/>
      <c r="F55" s="58"/>
      <c r="G55" s="58"/>
      <c r="H55" s="58">
        <v>2.0</v>
      </c>
      <c r="I55" s="58"/>
    </row>
    <row r="56" ht="14.25" customHeight="1">
      <c r="A56" s="57">
        <v>46172.0</v>
      </c>
      <c r="B56" s="58" t="s">
        <v>54</v>
      </c>
      <c r="C56" s="58" t="s">
        <v>247</v>
      </c>
      <c r="D56" s="58" t="s">
        <v>25</v>
      </c>
      <c r="E56" s="58">
        <v>30.0</v>
      </c>
      <c r="F56" s="58">
        <v>12.0</v>
      </c>
      <c r="G56" s="58">
        <v>1.0</v>
      </c>
      <c r="H56" s="58"/>
      <c r="I56" s="58" t="s">
        <v>250</v>
      </c>
    </row>
    <row r="57" ht="14.25" customHeight="1">
      <c r="A57" s="57">
        <v>46172.0</v>
      </c>
      <c r="B57" s="58" t="s">
        <v>54</v>
      </c>
      <c r="C57" s="58" t="s">
        <v>260</v>
      </c>
      <c r="D57" s="58" t="s">
        <v>28</v>
      </c>
      <c r="E57" s="58"/>
      <c r="F57" s="58">
        <v>20.0</v>
      </c>
      <c r="G57" s="58">
        <v>3.0</v>
      </c>
      <c r="H57" s="58"/>
      <c r="I57" s="58" t="s">
        <v>253</v>
      </c>
    </row>
    <row r="58" ht="14.25" customHeight="1">
      <c r="A58" s="57">
        <v>46170.0</v>
      </c>
      <c r="B58" s="58" t="s">
        <v>66</v>
      </c>
      <c r="C58" s="58" t="s">
        <v>261</v>
      </c>
      <c r="D58" s="58" t="s">
        <v>28</v>
      </c>
      <c r="E58" s="58">
        <v>1.0</v>
      </c>
      <c r="F58" s="58">
        <v>47.0</v>
      </c>
      <c r="G58" s="58">
        <v>9.0</v>
      </c>
      <c r="H58" s="58"/>
      <c r="I58" s="58"/>
    </row>
    <row r="59" ht="14.25" customHeight="1">
      <c r="A59" s="57">
        <v>46170.0</v>
      </c>
      <c r="B59" s="58" t="s">
        <v>66</v>
      </c>
      <c r="C59" s="58" t="s">
        <v>247</v>
      </c>
      <c r="D59" s="58" t="s">
        <v>25</v>
      </c>
      <c r="E59" s="58">
        <v>30.0</v>
      </c>
      <c r="F59" s="58"/>
      <c r="G59" s="58"/>
      <c r="H59" s="58"/>
      <c r="I59" s="58"/>
    </row>
    <row r="60" ht="14.25" customHeight="1">
      <c r="A60" s="57">
        <v>46171.0</v>
      </c>
      <c r="B60" s="58" t="s">
        <v>66</v>
      </c>
      <c r="C60" s="58" t="s">
        <v>247</v>
      </c>
      <c r="D60" s="58" t="s">
        <v>25</v>
      </c>
      <c r="E60" s="58"/>
      <c r="F60" s="58">
        <v>51.0</v>
      </c>
      <c r="G60" s="58">
        <v>3.0</v>
      </c>
      <c r="H60" s="58"/>
      <c r="I60" s="58"/>
    </row>
    <row r="61" ht="14.25" customHeight="1">
      <c r="A61" s="57">
        <v>46171.0</v>
      </c>
      <c r="B61" s="58" t="s">
        <v>66</v>
      </c>
      <c r="C61" s="58" t="s">
        <v>254</v>
      </c>
      <c r="D61" s="58" t="s">
        <v>28</v>
      </c>
      <c r="E61" s="58">
        <v>26.0</v>
      </c>
      <c r="F61" s="58"/>
      <c r="G61" s="58"/>
      <c r="H61" s="58"/>
      <c r="I61" s="58"/>
    </row>
    <row r="62" ht="14.25" customHeight="1">
      <c r="A62" s="57">
        <v>46171.0</v>
      </c>
      <c r="B62" s="58" t="s">
        <v>66</v>
      </c>
      <c r="C62" s="58"/>
      <c r="D62" s="58" t="s">
        <v>25</v>
      </c>
      <c r="E62" s="58"/>
      <c r="F62" s="58"/>
      <c r="G62" s="58">
        <v>2.0</v>
      </c>
      <c r="H62" s="58"/>
      <c r="I62" s="58"/>
    </row>
    <row r="63" ht="14.25" customHeight="1">
      <c r="A63" s="57">
        <v>46170.0</v>
      </c>
      <c r="B63" s="58" t="s">
        <v>54</v>
      </c>
      <c r="C63" s="58" t="s">
        <v>247</v>
      </c>
      <c r="D63" s="58" t="s">
        <v>25</v>
      </c>
      <c r="E63" s="58">
        <v>2.0</v>
      </c>
      <c r="F63" s="58">
        <v>64.0</v>
      </c>
      <c r="G63" s="58">
        <v>10.0</v>
      </c>
      <c r="H63" s="58"/>
      <c r="I63" s="58" t="s">
        <v>250</v>
      </c>
    </row>
    <row r="64" ht="14.25" customHeight="1">
      <c r="A64" s="57">
        <v>46170.0</v>
      </c>
      <c r="B64" s="58" t="s">
        <v>54</v>
      </c>
      <c r="C64" s="58" t="s">
        <v>260</v>
      </c>
      <c r="D64" s="58" t="s">
        <v>28</v>
      </c>
      <c r="E64" s="58">
        <v>8.0</v>
      </c>
      <c r="F64" s="58"/>
      <c r="G64" s="58"/>
      <c r="H64" s="58"/>
      <c r="I64" s="58" t="s">
        <v>253</v>
      </c>
    </row>
    <row r="65" ht="14.25" customHeight="1">
      <c r="A65" s="59">
        <v>46170.0</v>
      </c>
      <c r="B65" s="2" t="s">
        <v>54</v>
      </c>
      <c r="C65" s="2" t="s">
        <v>258</v>
      </c>
      <c r="D65" s="2" t="s">
        <v>25</v>
      </c>
      <c r="E65" s="2"/>
      <c r="F65" s="2"/>
      <c r="G65" s="2">
        <v>1.0</v>
      </c>
      <c r="H65" s="2"/>
      <c r="I65" s="2" t="s">
        <v>251</v>
      </c>
    </row>
    <row r="66" ht="14.25" customHeight="1">
      <c r="A66" s="59">
        <v>46169.0</v>
      </c>
      <c r="B66" s="2" t="s">
        <v>66</v>
      </c>
      <c r="C66" s="2" t="s">
        <v>247</v>
      </c>
      <c r="D66" s="2" t="s">
        <v>25</v>
      </c>
      <c r="E66" s="2">
        <v>35.0</v>
      </c>
      <c r="F66" s="2">
        <v>54.0</v>
      </c>
      <c r="G66" s="2">
        <v>7.0</v>
      </c>
      <c r="H66" s="2"/>
      <c r="I66" s="2"/>
    </row>
    <row r="67" ht="14.25" customHeight="1">
      <c r="A67" s="59">
        <v>46169.0</v>
      </c>
      <c r="B67" s="2" t="s">
        <v>67</v>
      </c>
      <c r="C67" s="2" t="s">
        <v>247</v>
      </c>
      <c r="D67" s="2" t="s">
        <v>25</v>
      </c>
      <c r="E67" s="2"/>
      <c r="F67" s="2">
        <v>69.0</v>
      </c>
      <c r="G67" s="2">
        <v>1.0</v>
      </c>
      <c r="H67" s="2"/>
      <c r="I67" s="2" t="s">
        <v>262</v>
      </c>
    </row>
    <row r="68" ht="14.25" customHeight="1">
      <c r="A68" s="59">
        <v>46169.0</v>
      </c>
      <c r="B68" s="2" t="s">
        <v>67</v>
      </c>
      <c r="C68" s="2"/>
      <c r="D68" s="2" t="s">
        <v>25</v>
      </c>
      <c r="E68" s="2"/>
      <c r="F68" s="2"/>
      <c r="G68" s="2">
        <v>3.0</v>
      </c>
      <c r="H68" s="2"/>
      <c r="I68" s="2"/>
    </row>
    <row r="69" ht="14.25" customHeight="1">
      <c r="A69" s="59">
        <v>46168.0</v>
      </c>
      <c r="B69" s="2" t="s">
        <v>66</v>
      </c>
      <c r="C69" s="2" t="s">
        <v>245</v>
      </c>
      <c r="D69" s="2" t="s">
        <v>25</v>
      </c>
      <c r="E69" s="2">
        <v>55.0</v>
      </c>
      <c r="F69" s="2">
        <v>61.0</v>
      </c>
      <c r="G69" s="2">
        <v>11.0</v>
      </c>
      <c r="H69" s="2"/>
      <c r="I69" s="2"/>
    </row>
    <row r="70" ht="14.25" customHeight="1">
      <c r="A70" s="59">
        <v>46169.0</v>
      </c>
      <c r="B70" s="2" t="s">
        <v>54</v>
      </c>
      <c r="C70" s="2" t="s">
        <v>247</v>
      </c>
      <c r="D70" s="2" t="s">
        <v>25</v>
      </c>
      <c r="E70" s="2">
        <v>23.0</v>
      </c>
      <c r="F70" s="2">
        <v>65.0</v>
      </c>
      <c r="G70" s="2">
        <v>10.0</v>
      </c>
      <c r="H70" s="2"/>
      <c r="I70" s="2" t="s">
        <v>250</v>
      </c>
    </row>
    <row r="71" ht="14.25" customHeight="1">
      <c r="A71" s="59">
        <v>46169.0</v>
      </c>
      <c r="B71" s="2" t="s">
        <v>54</v>
      </c>
      <c r="C71" s="2" t="s">
        <v>260</v>
      </c>
      <c r="D71" s="2" t="s">
        <v>28</v>
      </c>
      <c r="E71" s="2">
        <v>6.0</v>
      </c>
      <c r="F71" s="2"/>
      <c r="G71" s="2"/>
      <c r="H71" s="2"/>
      <c r="I71" s="2" t="s">
        <v>263</v>
      </c>
    </row>
    <row r="72" ht="14.25" customHeight="1">
      <c r="A72" s="59">
        <v>46169.0</v>
      </c>
      <c r="B72" s="2" t="s">
        <v>54</v>
      </c>
      <c r="C72" s="2" t="s">
        <v>258</v>
      </c>
      <c r="D72" s="2" t="s">
        <v>25</v>
      </c>
      <c r="E72" s="2"/>
      <c r="F72" s="2"/>
      <c r="G72" s="2">
        <v>1.0</v>
      </c>
      <c r="H72" s="2"/>
      <c r="I72" s="2" t="s">
        <v>264</v>
      </c>
    </row>
    <row r="73" ht="14.25" customHeight="1">
      <c r="A73" s="59">
        <v>46165.0</v>
      </c>
      <c r="B73" s="2" t="s">
        <v>54</v>
      </c>
      <c r="C73" s="2" t="s">
        <v>265</v>
      </c>
      <c r="D73" s="2" t="s">
        <v>34</v>
      </c>
      <c r="E73" s="2">
        <v>4.0</v>
      </c>
      <c r="F73" s="2">
        <v>37.0</v>
      </c>
      <c r="G73" s="2">
        <v>14.0</v>
      </c>
      <c r="H73" s="2">
        <v>3.0</v>
      </c>
      <c r="I73" s="2" t="s">
        <v>266</v>
      </c>
    </row>
    <row r="74" ht="14.25" customHeight="1">
      <c r="A74" s="59">
        <v>46165.0</v>
      </c>
      <c r="B74" s="2" t="s">
        <v>54</v>
      </c>
      <c r="C74" s="2" t="s">
        <v>267</v>
      </c>
      <c r="D74" s="2" t="s">
        <v>28</v>
      </c>
      <c r="E74" s="2">
        <v>14.0</v>
      </c>
      <c r="F74" s="2"/>
      <c r="G74" s="2"/>
      <c r="H74" s="2"/>
      <c r="I74" s="2" t="s">
        <v>263</v>
      </c>
    </row>
    <row r="75" ht="14.25" customHeight="1">
      <c r="A75" s="59">
        <v>46165.0</v>
      </c>
      <c r="B75" s="2" t="s">
        <v>54</v>
      </c>
      <c r="C75" s="2" t="s">
        <v>245</v>
      </c>
      <c r="D75" s="2" t="s">
        <v>25</v>
      </c>
      <c r="E75" s="2">
        <v>16.0</v>
      </c>
      <c r="F75" s="2"/>
      <c r="G75" s="2"/>
      <c r="H75" s="2"/>
      <c r="I75" s="2" t="s">
        <v>268</v>
      </c>
    </row>
    <row r="76" ht="14.25" customHeight="1">
      <c r="A76" s="59">
        <v>46165.0</v>
      </c>
      <c r="B76" s="2" t="s">
        <v>67</v>
      </c>
      <c r="C76" s="2" t="s">
        <v>265</v>
      </c>
      <c r="D76" s="2" t="s">
        <v>34</v>
      </c>
      <c r="E76" s="2">
        <v>37.0</v>
      </c>
      <c r="F76" s="2">
        <v>74.0</v>
      </c>
      <c r="G76" s="2">
        <v>9.0</v>
      </c>
      <c r="H76" s="2">
        <v>2.0</v>
      </c>
      <c r="I76" s="2"/>
    </row>
    <row r="77" ht="14.25" customHeight="1">
      <c r="A77" s="59">
        <v>46165.0</v>
      </c>
      <c r="B77" s="2" t="s">
        <v>67</v>
      </c>
      <c r="C77" s="2"/>
      <c r="D77" s="2" t="s">
        <v>28</v>
      </c>
      <c r="E77" s="2">
        <v>3.0</v>
      </c>
      <c r="F77" s="2">
        <v>9.0</v>
      </c>
      <c r="G77" s="2"/>
      <c r="H77" s="2"/>
      <c r="I77" s="2"/>
    </row>
    <row r="78" ht="14.25" customHeight="1">
      <c r="A78" s="59">
        <v>46167.0</v>
      </c>
      <c r="B78" s="2" t="s">
        <v>54</v>
      </c>
      <c r="C78" s="2" t="s">
        <v>245</v>
      </c>
      <c r="D78" s="2" t="s">
        <v>25</v>
      </c>
      <c r="E78" s="2">
        <v>34.0</v>
      </c>
      <c r="F78" s="2">
        <v>48.0</v>
      </c>
      <c r="G78" s="2">
        <v>4.0</v>
      </c>
      <c r="H78" s="2"/>
      <c r="I78" s="2" t="s">
        <v>250</v>
      </c>
    </row>
    <row r="79" ht="14.25" customHeight="1">
      <c r="A79" s="59">
        <v>46167.0</v>
      </c>
      <c r="B79" s="2" t="s">
        <v>54</v>
      </c>
      <c r="C79" s="2" t="s">
        <v>269</v>
      </c>
      <c r="D79" s="2" t="s">
        <v>34</v>
      </c>
      <c r="E79" s="2"/>
      <c r="F79" s="2"/>
      <c r="G79" s="2">
        <v>2.0</v>
      </c>
      <c r="H79" s="2"/>
      <c r="I79" s="2" t="s">
        <v>263</v>
      </c>
    </row>
    <row r="80" ht="14.25" customHeight="1">
      <c r="A80" s="59">
        <v>46167.0</v>
      </c>
      <c r="B80" s="2" t="s">
        <v>54</v>
      </c>
      <c r="C80" s="2" t="s">
        <v>258</v>
      </c>
      <c r="D80" s="2" t="s">
        <v>25</v>
      </c>
      <c r="E80" s="2"/>
      <c r="F80" s="2"/>
      <c r="G80" s="2">
        <v>3.0</v>
      </c>
      <c r="H80" s="2"/>
      <c r="I80" s="2" t="s">
        <v>264</v>
      </c>
    </row>
    <row r="81" ht="14.25" customHeight="1">
      <c r="A81" s="59">
        <v>46164.0</v>
      </c>
      <c r="B81" s="2" t="s">
        <v>67</v>
      </c>
      <c r="C81" s="2" t="s">
        <v>270</v>
      </c>
      <c r="D81" s="2" t="s">
        <v>34</v>
      </c>
      <c r="E81" s="2"/>
      <c r="F81" s="2">
        <v>47.0</v>
      </c>
      <c r="G81" s="2"/>
      <c r="H81" s="2"/>
      <c r="I81" s="2"/>
    </row>
    <row r="82" ht="14.25" customHeight="1">
      <c r="A82" s="59">
        <v>46164.0</v>
      </c>
      <c r="B82" s="2" t="s">
        <v>67</v>
      </c>
      <c r="C82" s="2"/>
      <c r="D82" s="2" t="s">
        <v>28</v>
      </c>
      <c r="E82" s="2"/>
      <c r="F82" s="2">
        <v>10.0</v>
      </c>
      <c r="G82" s="2"/>
      <c r="H82" s="2"/>
      <c r="I82" s="2"/>
    </row>
    <row r="83" ht="14.25" customHeight="1">
      <c r="A83" s="59">
        <v>46164.0</v>
      </c>
      <c r="B83" s="2" t="s">
        <v>67</v>
      </c>
      <c r="C83" s="2"/>
      <c r="D83" s="2" t="s">
        <v>34</v>
      </c>
      <c r="E83" s="2">
        <v>29.0</v>
      </c>
      <c r="F83" s="2"/>
      <c r="G83" s="2"/>
      <c r="H83" s="2"/>
      <c r="I83" s="2"/>
    </row>
    <row r="84" ht="14.25" customHeight="1">
      <c r="A84" s="59">
        <v>46164.0</v>
      </c>
      <c r="B84" s="2" t="s">
        <v>67</v>
      </c>
      <c r="C84" s="2"/>
      <c r="D84" s="2" t="s">
        <v>28</v>
      </c>
      <c r="E84" s="2">
        <v>9.0</v>
      </c>
      <c r="F84" s="2"/>
      <c r="G84" s="2"/>
      <c r="H84" s="2"/>
      <c r="I84" s="2"/>
    </row>
    <row r="85" ht="14.25" customHeight="1">
      <c r="A85" s="59">
        <v>46165.0</v>
      </c>
      <c r="B85" s="2" t="s">
        <v>67</v>
      </c>
      <c r="C85" s="2" t="s">
        <v>271</v>
      </c>
      <c r="D85" s="2" t="s">
        <v>34</v>
      </c>
      <c r="E85" s="2"/>
      <c r="F85" s="2">
        <v>20.0</v>
      </c>
      <c r="G85" s="2"/>
      <c r="H85" s="2"/>
      <c r="I85" s="2"/>
    </row>
    <row r="86" ht="14.25" customHeight="1">
      <c r="A86" s="59">
        <v>46165.0</v>
      </c>
      <c r="B86" s="2" t="s">
        <v>67</v>
      </c>
      <c r="C86" s="2" t="s">
        <v>245</v>
      </c>
      <c r="D86" s="2" t="s">
        <v>25</v>
      </c>
      <c r="E86" s="2"/>
      <c r="F86" s="2">
        <v>35.0</v>
      </c>
      <c r="G86" s="2"/>
      <c r="H86" s="2"/>
      <c r="I86" s="2"/>
    </row>
    <row r="87" ht="14.25" customHeight="1">
      <c r="A87" s="59">
        <v>46165.0</v>
      </c>
      <c r="B87" s="2" t="s">
        <v>67</v>
      </c>
      <c r="C87" s="2"/>
      <c r="D87" s="2" t="s">
        <v>28</v>
      </c>
      <c r="E87" s="2">
        <v>25.0</v>
      </c>
      <c r="F87" s="2"/>
      <c r="G87" s="2"/>
      <c r="H87" s="2"/>
      <c r="I87" s="2"/>
    </row>
    <row r="88" ht="14.25" customHeight="1">
      <c r="A88" s="59">
        <v>46165.0</v>
      </c>
      <c r="B88" s="2" t="s">
        <v>67</v>
      </c>
      <c r="C88" s="2"/>
      <c r="D88" s="2" t="s">
        <v>25</v>
      </c>
      <c r="E88" s="2">
        <v>5.0</v>
      </c>
      <c r="F88" s="2"/>
      <c r="G88" s="2"/>
      <c r="H88" s="2"/>
      <c r="I88" s="2"/>
    </row>
    <row r="89" ht="14.25" customHeight="1">
      <c r="A89" s="59">
        <v>46167.0</v>
      </c>
      <c r="B89" s="2" t="s">
        <v>66</v>
      </c>
      <c r="C89" s="2" t="s">
        <v>245</v>
      </c>
      <c r="D89" s="2" t="s">
        <v>25</v>
      </c>
      <c r="E89" s="2">
        <v>21.0</v>
      </c>
      <c r="F89" s="2">
        <v>71.0</v>
      </c>
      <c r="G89" s="2">
        <v>10.0</v>
      </c>
      <c r="H89" s="2"/>
      <c r="I89" s="2" t="s">
        <v>253</v>
      </c>
    </row>
    <row r="90" ht="14.25" customHeight="1">
      <c r="A90" s="59">
        <v>46167.0</v>
      </c>
      <c r="B90" s="2" t="s">
        <v>66</v>
      </c>
      <c r="C90" s="2" t="s">
        <v>267</v>
      </c>
      <c r="D90" s="2" t="s">
        <v>28</v>
      </c>
      <c r="E90" s="2">
        <v>20.0</v>
      </c>
      <c r="F90" s="2">
        <v>40.0</v>
      </c>
      <c r="G90" s="2"/>
      <c r="H90" s="2"/>
      <c r="I90" s="2"/>
    </row>
    <row r="91" ht="14.25" customHeight="1">
      <c r="A91" s="59">
        <v>46163.0</v>
      </c>
      <c r="B91" s="2" t="s">
        <v>67</v>
      </c>
      <c r="C91" s="2" t="s">
        <v>265</v>
      </c>
      <c r="D91" s="2" t="s">
        <v>34</v>
      </c>
      <c r="E91" s="2"/>
      <c r="F91" s="2">
        <v>43.0</v>
      </c>
      <c r="G91" s="2">
        <v>6.0</v>
      </c>
      <c r="H91" s="2">
        <v>3.0</v>
      </c>
      <c r="I91" s="2" t="s">
        <v>253</v>
      </c>
    </row>
    <row r="92" ht="14.25" customHeight="1">
      <c r="A92" s="59">
        <v>46163.0</v>
      </c>
      <c r="B92" s="2" t="s">
        <v>67</v>
      </c>
      <c r="C92" s="2"/>
      <c r="D92" s="2" t="s">
        <v>28</v>
      </c>
      <c r="E92" s="2"/>
      <c r="F92" s="2">
        <v>10.0</v>
      </c>
      <c r="G92" s="2"/>
      <c r="H92" s="2"/>
      <c r="I92" s="2"/>
    </row>
    <row r="93" ht="14.25" customHeight="1">
      <c r="A93" s="59">
        <v>46163.0</v>
      </c>
      <c r="B93" s="2" t="s">
        <v>67</v>
      </c>
      <c r="C93" s="2"/>
      <c r="D93" s="2" t="s">
        <v>34</v>
      </c>
      <c r="E93" s="2"/>
      <c r="F93" s="2">
        <v>6.0</v>
      </c>
      <c r="G93" s="2"/>
      <c r="H93" s="2"/>
      <c r="I93" s="2"/>
    </row>
    <row r="94" ht="14.25" customHeight="1">
      <c r="A94" s="59">
        <v>46163.0</v>
      </c>
      <c r="B94" s="2" t="s">
        <v>67</v>
      </c>
      <c r="C94" s="2"/>
      <c r="D94" s="2" t="s">
        <v>28</v>
      </c>
      <c r="E94" s="2"/>
      <c r="F94" s="2">
        <v>17.0</v>
      </c>
      <c r="G94" s="2"/>
      <c r="H94" s="2"/>
      <c r="I94" s="2"/>
    </row>
    <row r="95" ht="14.25" customHeight="1">
      <c r="A95" s="59">
        <v>46161.0</v>
      </c>
      <c r="B95" s="2" t="s">
        <v>67</v>
      </c>
      <c r="C95" s="2" t="s">
        <v>269</v>
      </c>
      <c r="D95" s="2" t="s">
        <v>34</v>
      </c>
      <c r="E95" s="2"/>
      <c r="F95" s="2">
        <v>34.0</v>
      </c>
      <c r="G95" s="2">
        <v>11.0</v>
      </c>
      <c r="H95" s="2"/>
      <c r="I95" s="2" t="s">
        <v>253</v>
      </c>
    </row>
    <row r="96" ht="14.25" customHeight="1">
      <c r="A96" s="59">
        <v>46161.0</v>
      </c>
      <c r="B96" s="2" t="s">
        <v>67</v>
      </c>
      <c r="C96" s="2"/>
      <c r="D96" s="2" t="s">
        <v>34</v>
      </c>
      <c r="E96" s="2">
        <v>20.0</v>
      </c>
      <c r="F96" s="2"/>
      <c r="G96" s="2"/>
      <c r="H96" s="2"/>
      <c r="I96" s="2"/>
    </row>
    <row r="97" ht="14.25" customHeight="1">
      <c r="A97" s="59">
        <v>46161.0</v>
      </c>
      <c r="B97" s="2" t="s">
        <v>67</v>
      </c>
      <c r="C97" s="2"/>
      <c r="D97" s="2" t="s">
        <v>28</v>
      </c>
      <c r="E97" s="2">
        <v>3.0</v>
      </c>
      <c r="F97" s="2"/>
      <c r="G97" s="2"/>
      <c r="H97" s="2"/>
      <c r="I97" s="2"/>
    </row>
    <row r="98" ht="14.25" customHeight="1">
      <c r="A98" s="59">
        <v>46163.0</v>
      </c>
      <c r="B98" s="2" t="s">
        <v>54</v>
      </c>
      <c r="C98" s="2" t="s">
        <v>265</v>
      </c>
      <c r="D98" s="2" t="s">
        <v>34</v>
      </c>
      <c r="E98" s="2">
        <v>27.0</v>
      </c>
      <c r="F98" s="2">
        <v>45.0</v>
      </c>
      <c r="G98" s="2">
        <v>3.0</v>
      </c>
      <c r="H98" s="2">
        <v>3.0</v>
      </c>
      <c r="I98" s="2" t="s">
        <v>266</v>
      </c>
    </row>
    <row r="99" ht="14.25" customHeight="1">
      <c r="A99" s="59">
        <v>46163.0</v>
      </c>
      <c r="B99" s="2" t="s">
        <v>54</v>
      </c>
      <c r="C99" s="2" t="s">
        <v>272</v>
      </c>
      <c r="D99" s="2" t="s">
        <v>37</v>
      </c>
      <c r="E99" s="2"/>
      <c r="F99" s="2"/>
      <c r="G99" s="2">
        <v>6.0</v>
      </c>
      <c r="H99" s="2"/>
      <c r="I99" s="2" t="s">
        <v>273</v>
      </c>
    </row>
    <row r="100" ht="14.25" customHeight="1">
      <c r="A100" s="59">
        <v>46163.0</v>
      </c>
      <c r="B100" s="2" t="s">
        <v>67</v>
      </c>
      <c r="C100" s="2" t="s">
        <v>269</v>
      </c>
      <c r="D100" s="2" t="s">
        <v>34</v>
      </c>
      <c r="E100" s="2">
        <v>22.0</v>
      </c>
      <c r="F100" s="2">
        <v>48.0</v>
      </c>
      <c r="G100" s="2">
        <v>3.0</v>
      </c>
      <c r="H100" s="2"/>
      <c r="I100" s="2"/>
    </row>
    <row r="101" ht="14.25" customHeight="1">
      <c r="A101" s="59">
        <v>46163.0</v>
      </c>
      <c r="B101" s="2" t="s">
        <v>67</v>
      </c>
      <c r="C101" s="2" t="s">
        <v>274</v>
      </c>
      <c r="D101" s="2" t="s">
        <v>28</v>
      </c>
      <c r="E101" s="2">
        <v>2.0</v>
      </c>
      <c r="F101" s="2">
        <v>4.0</v>
      </c>
      <c r="G101" s="2"/>
      <c r="H101" s="2"/>
      <c r="I101" s="2"/>
    </row>
    <row r="102" ht="14.25" customHeight="1">
      <c r="A102" s="59">
        <v>46161.0</v>
      </c>
      <c r="B102" s="2" t="s">
        <v>54</v>
      </c>
      <c r="C102" s="2" t="s">
        <v>269</v>
      </c>
      <c r="D102" s="2" t="s">
        <v>34</v>
      </c>
      <c r="E102" s="2">
        <v>11.0</v>
      </c>
      <c r="F102" s="2">
        <v>36.0</v>
      </c>
      <c r="G102" s="2">
        <v>6.0</v>
      </c>
      <c r="H102" s="2"/>
      <c r="I102" s="2" t="s">
        <v>266</v>
      </c>
    </row>
    <row r="103" ht="14.25" customHeight="1">
      <c r="A103" s="59">
        <v>46161.0</v>
      </c>
      <c r="B103" s="2" t="s">
        <v>54</v>
      </c>
      <c r="C103" s="2" t="s">
        <v>274</v>
      </c>
      <c r="D103" s="2" t="s">
        <v>28</v>
      </c>
      <c r="E103" s="2">
        <v>17.0</v>
      </c>
      <c r="F103" s="2"/>
      <c r="G103" s="2"/>
      <c r="H103" s="2"/>
      <c r="I103" s="2" t="s">
        <v>263</v>
      </c>
    </row>
    <row r="104" ht="14.25" customHeight="1">
      <c r="A104" s="59">
        <v>46161.0</v>
      </c>
      <c r="B104" s="2" t="s">
        <v>54</v>
      </c>
      <c r="C104" s="2" t="s">
        <v>275</v>
      </c>
      <c r="D104" s="2" t="s">
        <v>25</v>
      </c>
      <c r="E104" s="2"/>
      <c r="F104" s="2">
        <v>2.0</v>
      </c>
      <c r="G104" s="2"/>
      <c r="H104" s="2"/>
      <c r="I104" s="2" t="s">
        <v>264</v>
      </c>
    </row>
    <row r="105" ht="14.25" customHeight="1">
      <c r="A105" s="59">
        <v>46161.0</v>
      </c>
      <c r="B105" s="2" t="s">
        <v>54</v>
      </c>
      <c r="C105" s="2" t="s">
        <v>272</v>
      </c>
      <c r="D105" s="2" t="s">
        <v>37</v>
      </c>
      <c r="E105" s="2"/>
      <c r="F105" s="2"/>
      <c r="G105" s="2"/>
      <c r="H105" s="2">
        <v>2.0</v>
      </c>
      <c r="I105" s="2" t="s">
        <v>263</v>
      </c>
    </row>
    <row r="106" ht="14.25" customHeight="1">
      <c r="A106" s="59">
        <v>46161.0</v>
      </c>
      <c r="B106" s="2" t="s">
        <v>66</v>
      </c>
      <c r="C106" s="2" t="s">
        <v>269</v>
      </c>
      <c r="D106" s="2" t="s">
        <v>34</v>
      </c>
      <c r="E106" s="2">
        <v>23.0</v>
      </c>
      <c r="F106" s="2">
        <v>36.0</v>
      </c>
      <c r="G106" s="2"/>
      <c r="H106" s="2"/>
      <c r="I106" s="2"/>
    </row>
    <row r="107" ht="14.25" customHeight="1">
      <c r="A107" s="59">
        <v>46161.0</v>
      </c>
      <c r="B107" s="2" t="s">
        <v>66</v>
      </c>
      <c r="C107" s="2" t="s">
        <v>276</v>
      </c>
      <c r="D107" s="2" t="s">
        <v>37</v>
      </c>
      <c r="E107" s="2"/>
      <c r="F107" s="2">
        <v>18.0</v>
      </c>
      <c r="G107" s="2">
        <v>13.0</v>
      </c>
      <c r="H107" s="2">
        <v>4.0</v>
      </c>
      <c r="I107" s="2"/>
    </row>
    <row r="108" ht="14.25" customHeight="1">
      <c r="A108" s="59">
        <v>46160.0</v>
      </c>
      <c r="B108" s="2" t="s">
        <v>67</v>
      </c>
      <c r="C108" s="2" t="s">
        <v>276</v>
      </c>
      <c r="D108" s="2" t="s">
        <v>37</v>
      </c>
      <c r="E108" s="2"/>
      <c r="F108" s="2">
        <v>59.0</v>
      </c>
      <c r="G108" s="2">
        <v>13.0</v>
      </c>
      <c r="H108" s="2"/>
      <c r="I108" s="2" t="s">
        <v>253</v>
      </c>
    </row>
    <row r="109" ht="14.25" customHeight="1">
      <c r="A109" s="59">
        <v>46160.0</v>
      </c>
      <c r="B109" s="2" t="s">
        <v>67</v>
      </c>
      <c r="C109" s="2"/>
      <c r="D109" s="2" t="s">
        <v>34</v>
      </c>
      <c r="E109" s="2">
        <v>7.0</v>
      </c>
      <c r="F109" s="2"/>
      <c r="G109" s="2"/>
      <c r="H109" s="2"/>
      <c r="I109" s="2"/>
    </row>
    <row r="110" ht="14.25" customHeight="1">
      <c r="A110" s="59">
        <v>46160.0</v>
      </c>
      <c r="B110" s="2" t="s">
        <v>67</v>
      </c>
      <c r="C110" s="2"/>
      <c r="D110" s="2" t="s">
        <v>25</v>
      </c>
      <c r="E110" s="2">
        <v>22.0</v>
      </c>
      <c r="F110" s="2"/>
      <c r="G110" s="2"/>
      <c r="H110" s="2"/>
      <c r="I110" s="2"/>
    </row>
    <row r="111" ht="14.25" customHeight="1">
      <c r="A111" s="59">
        <v>46160.0</v>
      </c>
      <c r="B111" s="2" t="s">
        <v>66</v>
      </c>
      <c r="C111" s="2" t="s">
        <v>276</v>
      </c>
      <c r="D111" s="2" t="s">
        <v>37</v>
      </c>
      <c r="E111" s="2">
        <v>33.0</v>
      </c>
      <c r="F111" s="2">
        <v>49.0</v>
      </c>
      <c r="G111" s="2">
        <v>8.0</v>
      </c>
      <c r="H111" s="2">
        <v>5.0</v>
      </c>
      <c r="I111" s="2"/>
    </row>
    <row r="112" ht="14.25" customHeight="1">
      <c r="A112" s="59">
        <v>46141.0</v>
      </c>
      <c r="B112" s="2" t="s">
        <v>66</v>
      </c>
      <c r="C112" s="2" t="s">
        <v>277</v>
      </c>
      <c r="D112" s="2" t="s">
        <v>237</v>
      </c>
      <c r="E112" s="2">
        <v>16.0</v>
      </c>
      <c r="F112" s="2">
        <v>36.0</v>
      </c>
      <c r="G112" s="2">
        <v>1.0</v>
      </c>
      <c r="H112" s="2"/>
      <c r="I112" s="2"/>
    </row>
    <row r="113" ht="14.25" customHeight="1">
      <c r="A113" s="59">
        <v>46141.0</v>
      </c>
      <c r="B113" s="2" t="s">
        <v>66</v>
      </c>
      <c r="C113" s="2" t="s">
        <v>278</v>
      </c>
      <c r="D113" s="2" t="s">
        <v>28</v>
      </c>
      <c r="E113" s="2"/>
      <c r="F113" s="2">
        <v>20.0</v>
      </c>
      <c r="G113" s="2">
        <v>5.0</v>
      </c>
      <c r="H113" s="2"/>
      <c r="I113" s="2"/>
    </row>
    <row r="114" ht="14.25" customHeight="1">
      <c r="A114" s="59">
        <v>46141.0</v>
      </c>
      <c r="B114" s="2" t="s">
        <v>66</v>
      </c>
      <c r="C114" s="2"/>
      <c r="D114" s="2" t="s">
        <v>237</v>
      </c>
      <c r="E114" s="2"/>
      <c r="F114" s="2"/>
      <c r="G114" s="2">
        <v>2.0</v>
      </c>
      <c r="H114" s="2"/>
      <c r="I114" s="2"/>
    </row>
    <row r="115" ht="14.25" customHeight="1">
      <c r="A115" s="59">
        <v>46141.0</v>
      </c>
      <c r="B115" s="2" t="s">
        <v>66</v>
      </c>
      <c r="C115" s="2"/>
      <c r="D115" s="2" t="s">
        <v>25</v>
      </c>
      <c r="E115" s="2"/>
      <c r="F115" s="2"/>
      <c r="G115" s="2">
        <v>3.0</v>
      </c>
      <c r="H115" s="2"/>
      <c r="I115" s="2"/>
    </row>
    <row r="116" ht="14.25" customHeight="1">
      <c r="A116" s="59">
        <v>46141.0</v>
      </c>
      <c r="B116" s="2" t="s">
        <v>67</v>
      </c>
      <c r="C116" s="2" t="s">
        <v>277</v>
      </c>
      <c r="D116" s="2" t="s">
        <v>237</v>
      </c>
      <c r="E116" s="2">
        <v>57.0</v>
      </c>
      <c r="F116" s="2">
        <v>82.0</v>
      </c>
      <c r="G116" s="2">
        <v>8.0</v>
      </c>
      <c r="H116" s="2"/>
      <c r="I116" s="2" t="s">
        <v>253</v>
      </c>
    </row>
    <row r="117" ht="14.25" customHeight="1">
      <c r="A117" s="59">
        <v>46141.0</v>
      </c>
      <c r="B117" s="2" t="s">
        <v>67</v>
      </c>
      <c r="C117" s="2"/>
      <c r="D117" s="2" t="s">
        <v>28</v>
      </c>
      <c r="E117" s="2"/>
      <c r="F117" s="2"/>
      <c r="G117" s="2"/>
      <c r="H117" s="2"/>
      <c r="I117" s="2" t="s">
        <v>253</v>
      </c>
    </row>
    <row r="118" ht="14.25" customHeight="1">
      <c r="A118" s="59">
        <v>46141.0</v>
      </c>
      <c r="B118" s="2" t="s">
        <v>67</v>
      </c>
      <c r="C118" s="2"/>
      <c r="D118" s="2" t="s">
        <v>25</v>
      </c>
      <c r="E118" s="2"/>
      <c r="F118" s="2"/>
      <c r="G118" s="2"/>
      <c r="H118" s="2"/>
      <c r="I118" s="2" t="s">
        <v>253</v>
      </c>
    </row>
    <row r="119" ht="14.25" customHeight="1">
      <c r="A119" s="59">
        <v>46152.0</v>
      </c>
      <c r="B119" s="2" t="s">
        <v>66</v>
      </c>
      <c r="C119" s="2" t="s">
        <v>279</v>
      </c>
      <c r="D119" s="2" t="s">
        <v>280</v>
      </c>
      <c r="E119" s="2">
        <v>6.0</v>
      </c>
      <c r="F119" s="2">
        <v>111.0</v>
      </c>
      <c r="G119" s="2"/>
      <c r="H119" s="2"/>
      <c r="I119" s="2"/>
    </row>
    <row r="120" ht="14.25" customHeight="1">
      <c r="A120" s="59">
        <v>46152.0</v>
      </c>
      <c r="B120" s="2" t="s">
        <v>66</v>
      </c>
      <c r="C120" s="2" t="s">
        <v>281</v>
      </c>
      <c r="D120" s="2" t="s">
        <v>237</v>
      </c>
      <c r="E120" s="2">
        <v>38.0</v>
      </c>
      <c r="F120" s="2"/>
      <c r="G120" s="2"/>
      <c r="H120" s="2"/>
      <c r="I120" s="2"/>
    </row>
    <row r="121" ht="14.25" customHeight="1">
      <c r="A121" s="59">
        <v>46152.0</v>
      </c>
      <c r="B121" s="2" t="s">
        <v>66</v>
      </c>
      <c r="C121" s="2"/>
      <c r="D121" s="2" t="s">
        <v>25</v>
      </c>
      <c r="E121" s="2"/>
      <c r="F121" s="2"/>
      <c r="G121" s="2">
        <v>11.0</v>
      </c>
      <c r="H121" s="2"/>
      <c r="I121" s="2"/>
    </row>
    <row r="122" ht="14.25" customHeight="1">
      <c r="A122" s="59">
        <v>46151.0</v>
      </c>
      <c r="B122" s="2" t="s">
        <v>66</v>
      </c>
      <c r="C122" s="2" t="s">
        <v>282</v>
      </c>
      <c r="D122" s="2" t="s">
        <v>283</v>
      </c>
      <c r="E122" s="2">
        <v>3.0</v>
      </c>
      <c r="F122" s="2">
        <v>78.0</v>
      </c>
      <c r="G122" s="2">
        <v>5.0</v>
      </c>
      <c r="H122" s="2"/>
      <c r="I122" s="2"/>
    </row>
    <row r="123" ht="14.25" customHeight="1">
      <c r="A123" s="59">
        <v>46151.0</v>
      </c>
      <c r="B123" s="2" t="s">
        <v>66</v>
      </c>
      <c r="C123" s="2"/>
      <c r="D123" s="2" t="s">
        <v>25</v>
      </c>
      <c r="E123" s="2"/>
      <c r="F123" s="2"/>
      <c r="G123" s="2"/>
      <c r="H123" s="2">
        <v>5.0</v>
      </c>
      <c r="I123" s="2"/>
    </row>
    <row r="124" ht="14.25" customHeight="1">
      <c r="A124" s="59">
        <v>46151.0</v>
      </c>
      <c r="B124" s="2" t="s">
        <v>66</v>
      </c>
      <c r="C124" s="2"/>
      <c r="D124" s="2" t="s">
        <v>237</v>
      </c>
      <c r="E124" s="2">
        <v>59.0</v>
      </c>
      <c r="F124" s="2"/>
      <c r="G124" s="2"/>
      <c r="H124" s="2"/>
      <c r="I124" s="2"/>
    </row>
    <row r="125" ht="14.25" customHeight="1">
      <c r="A125" s="59">
        <v>46151.0</v>
      </c>
      <c r="B125" s="2" t="s">
        <v>66</v>
      </c>
      <c r="C125" s="2"/>
      <c r="D125" s="2" t="s">
        <v>237</v>
      </c>
      <c r="E125" s="2"/>
      <c r="F125" s="2"/>
      <c r="G125" s="2">
        <v>2.0</v>
      </c>
      <c r="H125" s="2"/>
      <c r="I125" s="2"/>
    </row>
    <row r="126" ht="14.25" customHeight="1">
      <c r="A126" s="59">
        <v>46151.0</v>
      </c>
      <c r="B126" s="2" t="s">
        <v>67</v>
      </c>
      <c r="C126" s="2" t="s">
        <v>281</v>
      </c>
      <c r="D126" s="2" t="s">
        <v>237</v>
      </c>
      <c r="E126" s="2"/>
      <c r="F126" s="2">
        <v>79.0</v>
      </c>
      <c r="G126" s="2">
        <v>10.0</v>
      </c>
      <c r="H126" s="2"/>
      <c r="I126" s="2" t="s">
        <v>253</v>
      </c>
    </row>
    <row r="127" ht="14.25" customHeight="1">
      <c r="A127" s="59">
        <v>46151.0</v>
      </c>
      <c r="B127" s="2" t="s">
        <v>67</v>
      </c>
      <c r="C127" s="2"/>
      <c r="D127" s="2" t="s">
        <v>284</v>
      </c>
      <c r="E127" s="2">
        <v>14.0</v>
      </c>
      <c r="F127" s="2"/>
      <c r="G127" s="2"/>
      <c r="H127" s="2"/>
      <c r="I127" s="2"/>
    </row>
    <row r="128" ht="14.25" customHeight="1">
      <c r="A128" s="59">
        <v>46151.0</v>
      </c>
      <c r="B128" s="2" t="s">
        <v>67</v>
      </c>
      <c r="C128" s="2" t="s">
        <v>281</v>
      </c>
      <c r="D128" s="2" t="s">
        <v>237</v>
      </c>
      <c r="E128" s="2">
        <v>52.0</v>
      </c>
      <c r="F128" s="2"/>
      <c r="G128" s="2"/>
      <c r="H128" s="2"/>
      <c r="I128" s="2" t="s">
        <v>253</v>
      </c>
    </row>
    <row r="129" ht="14.25" customHeight="1">
      <c r="A129" s="59">
        <v>46151.0</v>
      </c>
      <c r="B129" s="2" t="s">
        <v>54</v>
      </c>
      <c r="C129" s="2" t="s">
        <v>281</v>
      </c>
      <c r="D129" s="2" t="s">
        <v>237</v>
      </c>
      <c r="E129" s="2">
        <v>18.0</v>
      </c>
      <c r="F129" s="2">
        <v>81.0</v>
      </c>
      <c r="G129" s="2">
        <v>7.0</v>
      </c>
      <c r="H129" s="2"/>
      <c r="I129" s="2" t="s">
        <v>285</v>
      </c>
    </row>
    <row r="130" ht="14.25" customHeight="1">
      <c r="A130" s="59">
        <v>46151.0</v>
      </c>
      <c r="B130" s="2" t="s">
        <v>54</v>
      </c>
      <c r="C130" s="2" t="s">
        <v>286</v>
      </c>
      <c r="D130" s="2" t="s">
        <v>237</v>
      </c>
      <c r="E130" s="2"/>
      <c r="F130" s="2"/>
      <c r="G130" s="2">
        <v>2.0</v>
      </c>
      <c r="H130" s="2"/>
      <c r="I130" s="2" t="s">
        <v>264</v>
      </c>
    </row>
    <row r="131" ht="14.25" customHeight="1">
      <c r="A131" s="59">
        <v>46151.0</v>
      </c>
      <c r="B131" s="2" t="s">
        <v>54</v>
      </c>
      <c r="C131" s="2"/>
      <c r="D131" s="2" t="s">
        <v>25</v>
      </c>
      <c r="E131" s="2"/>
      <c r="F131" s="2"/>
      <c r="G131" s="2">
        <v>2.0</v>
      </c>
      <c r="H131" s="2"/>
      <c r="I131" s="2" t="s">
        <v>264</v>
      </c>
    </row>
    <row r="132" ht="14.25" customHeight="1">
      <c r="A132" s="59">
        <v>46151.0</v>
      </c>
      <c r="B132" s="2" t="s">
        <v>54</v>
      </c>
      <c r="C132" s="2" t="s">
        <v>282</v>
      </c>
      <c r="D132" s="2" t="s">
        <v>283</v>
      </c>
      <c r="E132" s="2">
        <v>32.0</v>
      </c>
      <c r="F132" s="2"/>
      <c r="G132" s="2"/>
      <c r="H132" s="2"/>
      <c r="I132" s="2" t="s">
        <v>264</v>
      </c>
    </row>
    <row r="133" ht="14.25" customHeight="1">
      <c r="A133" s="59">
        <v>46151.0</v>
      </c>
      <c r="B133" s="2" t="s">
        <v>54</v>
      </c>
      <c r="C133" s="2" t="s">
        <v>287</v>
      </c>
      <c r="D133" s="2" t="s">
        <v>25</v>
      </c>
      <c r="E133" s="2"/>
      <c r="F133" s="2"/>
      <c r="G133" s="2"/>
      <c r="H133" s="2">
        <v>1.0</v>
      </c>
      <c r="I133" s="2" t="s">
        <v>288</v>
      </c>
    </row>
    <row r="134" ht="14.25" customHeight="1">
      <c r="A134" s="59">
        <v>46150.0</v>
      </c>
      <c r="B134" s="2" t="s">
        <v>54</v>
      </c>
      <c r="C134" s="2" t="s">
        <v>289</v>
      </c>
      <c r="D134" s="2" t="s">
        <v>237</v>
      </c>
      <c r="E134" s="2">
        <v>14.0</v>
      </c>
      <c r="F134" s="2">
        <v>69.0</v>
      </c>
      <c r="G134" s="2">
        <v>8.0</v>
      </c>
      <c r="H134" s="2">
        <v>2.0</v>
      </c>
      <c r="I134" s="2" t="s">
        <v>285</v>
      </c>
    </row>
    <row r="135" ht="14.25" customHeight="1">
      <c r="A135" s="59">
        <v>46150.0</v>
      </c>
      <c r="B135" s="2" t="s">
        <v>54</v>
      </c>
      <c r="C135" s="2" t="s">
        <v>281</v>
      </c>
      <c r="D135" s="2" t="s">
        <v>237</v>
      </c>
      <c r="E135" s="2"/>
      <c r="F135" s="2"/>
      <c r="G135" s="2">
        <v>2.0</v>
      </c>
      <c r="H135" s="2"/>
      <c r="I135" s="2" t="s">
        <v>285</v>
      </c>
    </row>
    <row r="136" ht="14.25" customHeight="1">
      <c r="A136" s="59">
        <v>46150.0</v>
      </c>
      <c r="B136" s="2" t="s">
        <v>54</v>
      </c>
      <c r="C136" s="2" t="s">
        <v>290</v>
      </c>
      <c r="D136" s="2" t="s">
        <v>283</v>
      </c>
      <c r="E136" s="2">
        <v>24.0</v>
      </c>
      <c r="F136" s="2"/>
      <c r="G136" s="2"/>
      <c r="H136" s="2"/>
      <c r="I136" s="2" t="s">
        <v>264</v>
      </c>
    </row>
    <row r="137" ht="14.25" customHeight="1">
      <c r="A137" s="59">
        <v>46150.0</v>
      </c>
      <c r="B137" s="2" t="s">
        <v>54</v>
      </c>
      <c r="C137" s="2" t="s">
        <v>291</v>
      </c>
      <c r="D137" s="2" t="s">
        <v>25</v>
      </c>
      <c r="E137" s="2"/>
      <c r="F137" s="2"/>
      <c r="G137" s="2">
        <v>2.0</v>
      </c>
      <c r="H137" s="2"/>
      <c r="I137" s="2" t="s">
        <v>263</v>
      </c>
    </row>
    <row r="138" ht="14.25" customHeight="1">
      <c r="A138" s="59">
        <v>46150.0</v>
      </c>
      <c r="B138" s="2" t="s">
        <v>67</v>
      </c>
      <c r="C138" s="2" t="s">
        <v>281</v>
      </c>
      <c r="D138" s="2" t="s">
        <v>237</v>
      </c>
      <c r="E138" s="2"/>
      <c r="F138" s="2">
        <v>77.0</v>
      </c>
      <c r="G138" s="2">
        <v>15.0</v>
      </c>
      <c r="H138" s="2"/>
      <c r="I138" s="2" t="s">
        <v>253</v>
      </c>
    </row>
    <row r="139" ht="14.25" customHeight="1">
      <c r="A139" s="59">
        <v>46150.0</v>
      </c>
      <c r="B139" s="2" t="s">
        <v>67</v>
      </c>
      <c r="C139" s="2"/>
      <c r="D139" s="2" t="s">
        <v>237</v>
      </c>
      <c r="E139" s="2">
        <v>37.0</v>
      </c>
      <c r="F139" s="2"/>
      <c r="G139" s="2"/>
      <c r="H139" s="2"/>
      <c r="I139" s="2"/>
    </row>
    <row r="140" ht="14.25" customHeight="1">
      <c r="A140" s="59">
        <v>46150.0</v>
      </c>
      <c r="B140" s="2" t="s">
        <v>67</v>
      </c>
      <c r="C140" s="2" t="s">
        <v>292</v>
      </c>
      <c r="D140" s="2" t="s">
        <v>283</v>
      </c>
      <c r="E140" s="2">
        <v>14.0</v>
      </c>
      <c r="F140" s="2"/>
      <c r="G140" s="2"/>
      <c r="H140" s="2"/>
      <c r="I140" s="2" t="s">
        <v>251</v>
      </c>
    </row>
    <row r="141" ht="14.25" customHeight="1">
      <c r="A141" s="59">
        <v>46150.0</v>
      </c>
      <c r="B141" s="2" t="s">
        <v>66</v>
      </c>
      <c r="C141" s="2" t="s">
        <v>293</v>
      </c>
      <c r="D141" s="2" t="s">
        <v>237</v>
      </c>
      <c r="E141" s="2">
        <v>37.0</v>
      </c>
      <c r="F141" s="2">
        <v>65.0</v>
      </c>
      <c r="G141" s="2">
        <v>5.0</v>
      </c>
      <c r="H141" s="2">
        <v>3.0</v>
      </c>
      <c r="I141" s="2"/>
    </row>
    <row r="142" ht="14.25" customHeight="1">
      <c r="A142" s="59">
        <v>46150.0</v>
      </c>
      <c r="B142" s="2" t="s">
        <v>66</v>
      </c>
      <c r="C142" s="2" t="s">
        <v>294</v>
      </c>
      <c r="D142" s="2" t="s">
        <v>283</v>
      </c>
      <c r="E142" s="2"/>
      <c r="F142" s="2">
        <v>1.0</v>
      </c>
      <c r="G142" s="2"/>
      <c r="H142" s="2"/>
      <c r="I142" s="2"/>
    </row>
    <row r="143" ht="14.25" customHeight="1">
      <c r="A143" s="59">
        <v>46150.0</v>
      </c>
      <c r="B143" s="2" t="s">
        <v>66</v>
      </c>
      <c r="C143" s="2"/>
      <c r="D143" s="2" t="s">
        <v>237</v>
      </c>
      <c r="E143" s="2"/>
      <c r="F143" s="2"/>
      <c r="G143" s="2">
        <v>4.0</v>
      </c>
      <c r="H143" s="2"/>
      <c r="I143" s="2"/>
    </row>
    <row r="144" ht="14.25" customHeight="1">
      <c r="A144" s="59">
        <v>46150.0</v>
      </c>
      <c r="B144" s="2" t="s">
        <v>66</v>
      </c>
      <c r="C144" s="2"/>
      <c r="D144" s="2" t="s">
        <v>25</v>
      </c>
      <c r="E144" s="2"/>
      <c r="F144" s="2"/>
      <c r="G144" s="2"/>
      <c r="H144" s="2">
        <v>3.0</v>
      </c>
      <c r="I144" s="2"/>
    </row>
    <row r="145" ht="14.25" customHeight="1">
      <c r="A145" s="59">
        <v>46149.0</v>
      </c>
      <c r="B145" s="2" t="s">
        <v>66</v>
      </c>
      <c r="C145" s="2" t="s">
        <v>289</v>
      </c>
      <c r="D145" s="2" t="s">
        <v>237</v>
      </c>
      <c r="E145" s="2">
        <v>52.0</v>
      </c>
      <c r="F145" s="2">
        <v>70.0</v>
      </c>
      <c r="G145" s="2">
        <v>6.0</v>
      </c>
      <c r="H145" s="2">
        <v>2.0</v>
      </c>
      <c r="I145" s="2"/>
    </row>
    <row r="146" ht="14.25" customHeight="1">
      <c r="A146" s="59">
        <v>46149.0</v>
      </c>
      <c r="B146" s="2" t="s">
        <v>66</v>
      </c>
      <c r="C146" s="2" t="s">
        <v>282</v>
      </c>
      <c r="D146" s="2" t="s">
        <v>283</v>
      </c>
      <c r="E146" s="2">
        <v>2.0</v>
      </c>
      <c r="F146" s="2">
        <v>6.0</v>
      </c>
      <c r="G146" s="2"/>
      <c r="H146" s="2"/>
      <c r="I146" s="2"/>
    </row>
    <row r="147" ht="14.25" customHeight="1">
      <c r="A147" s="59">
        <v>46149.0</v>
      </c>
      <c r="B147" s="2" t="s">
        <v>66</v>
      </c>
      <c r="C147" s="2"/>
      <c r="D147" s="2" t="s">
        <v>237</v>
      </c>
      <c r="E147" s="2"/>
      <c r="F147" s="2"/>
      <c r="G147" s="2">
        <v>7.0</v>
      </c>
      <c r="H147" s="2"/>
      <c r="I147" s="2"/>
    </row>
    <row r="148" ht="14.25" customHeight="1">
      <c r="A148" s="59">
        <v>46149.0</v>
      </c>
      <c r="B148" s="2" t="s">
        <v>66</v>
      </c>
      <c r="C148" s="2"/>
      <c r="D148" s="2" t="s">
        <v>25</v>
      </c>
      <c r="E148" s="2"/>
      <c r="F148" s="2"/>
      <c r="G148" s="2"/>
      <c r="H148" s="2">
        <v>2.0</v>
      </c>
      <c r="I148" s="2"/>
    </row>
    <row r="149" ht="14.25" customHeight="1">
      <c r="A149" s="59">
        <v>46149.0</v>
      </c>
      <c r="B149" s="2" t="s">
        <v>67</v>
      </c>
      <c r="C149" s="2" t="s">
        <v>295</v>
      </c>
      <c r="D149" s="2" t="s">
        <v>237</v>
      </c>
      <c r="E149" s="2"/>
      <c r="F149" s="2">
        <v>80.0</v>
      </c>
      <c r="G149" s="2">
        <v>14.0</v>
      </c>
      <c r="H149" s="2"/>
      <c r="I149" s="2" t="s">
        <v>253</v>
      </c>
    </row>
    <row r="150" ht="14.25" customHeight="1">
      <c r="A150" s="59">
        <v>46149.0</v>
      </c>
      <c r="B150" s="2" t="s">
        <v>67</v>
      </c>
      <c r="C150" s="2"/>
      <c r="D150" s="2" t="s">
        <v>237</v>
      </c>
      <c r="E150" s="2">
        <v>26.0</v>
      </c>
      <c r="F150" s="2"/>
      <c r="G150" s="2"/>
      <c r="H150" s="2"/>
      <c r="I150" s="2"/>
    </row>
    <row r="151" ht="14.25" customHeight="1">
      <c r="A151" s="59">
        <v>46149.0</v>
      </c>
      <c r="B151" s="2" t="s">
        <v>67</v>
      </c>
      <c r="C151" s="2"/>
      <c r="D151" s="2" t="s">
        <v>283</v>
      </c>
      <c r="E151" s="2">
        <v>12.0</v>
      </c>
      <c r="F151" s="2"/>
      <c r="G151" s="2"/>
      <c r="H151" s="2"/>
      <c r="I151" s="2"/>
    </row>
    <row r="152" ht="14.25" customHeight="1">
      <c r="A152" s="59">
        <v>46149.0</v>
      </c>
      <c r="B152" s="2" t="s">
        <v>54</v>
      </c>
      <c r="C152" s="2" t="s">
        <v>289</v>
      </c>
      <c r="D152" s="2" t="s">
        <v>237</v>
      </c>
      <c r="E152" s="2"/>
      <c r="F152" s="2">
        <v>67.0</v>
      </c>
      <c r="G152" s="2">
        <v>8.0</v>
      </c>
      <c r="H152" s="2">
        <v>4.0</v>
      </c>
      <c r="I152" s="2" t="s">
        <v>285</v>
      </c>
    </row>
    <row r="153" ht="14.25" customHeight="1">
      <c r="A153" s="59">
        <v>46149.0</v>
      </c>
      <c r="B153" s="2" t="s">
        <v>54</v>
      </c>
      <c r="C153" s="2" t="s">
        <v>249</v>
      </c>
      <c r="D153" s="2" t="s">
        <v>237</v>
      </c>
      <c r="E153" s="2"/>
      <c r="F153" s="2"/>
      <c r="G153" s="2">
        <v>4.0</v>
      </c>
      <c r="H153" s="2"/>
      <c r="I153" s="2" t="s">
        <v>264</v>
      </c>
    </row>
    <row r="154" ht="14.25" customHeight="1">
      <c r="A154" s="59">
        <v>46149.0</v>
      </c>
      <c r="B154" s="2" t="s">
        <v>54</v>
      </c>
      <c r="C154" s="2" t="s">
        <v>282</v>
      </c>
      <c r="D154" s="2" t="s">
        <v>283</v>
      </c>
      <c r="E154" s="2">
        <v>20.0</v>
      </c>
      <c r="F154" s="2"/>
      <c r="G154" s="2"/>
      <c r="H154" s="2"/>
      <c r="I154" s="2" t="s">
        <v>264</v>
      </c>
    </row>
    <row r="155" ht="14.25" customHeight="1">
      <c r="A155" s="59">
        <v>46149.0</v>
      </c>
      <c r="B155" s="2" t="s">
        <v>54</v>
      </c>
      <c r="C155" s="2" t="s">
        <v>291</v>
      </c>
      <c r="D155" s="2" t="s">
        <v>25</v>
      </c>
      <c r="E155" s="2"/>
      <c r="F155" s="2"/>
      <c r="G155" s="2"/>
      <c r="H155" s="2">
        <v>1.0</v>
      </c>
      <c r="I155" s="2" t="s">
        <v>263</v>
      </c>
    </row>
    <row r="156" ht="14.25" customHeight="1">
      <c r="A156" s="59">
        <v>46148.0</v>
      </c>
      <c r="B156" s="2" t="s">
        <v>67</v>
      </c>
      <c r="C156" s="2" t="s">
        <v>289</v>
      </c>
      <c r="D156" s="2" t="s">
        <v>237</v>
      </c>
      <c r="E156" s="2"/>
      <c r="F156" s="2">
        <v>83.0</v>
      </c>
      <c r="G156" s="2">
        <v>13.0</v>
      </c>
      <c r="H156" s="2"/>
      <c r="I156" s="2" t="s">
        <v>253</v>
      </c>
    </row>
    <row r="157" ht="14.25" customHeight="1">
      <c r="A157" s="59">
        <v>46148.0</v>
      </c>
      <c r="B157" s="2" t="s">
        <v>67</v>
      </c>
      <c r="C157" s="2"/>
      <c r="D157" s="2" t="s">
        <v>237</v>
      </c>
      <c r="E157" s="2">
        <v>30.0</v>
      </c>
      <c r="F157" s="2"/>
      <c r="G157" s="2"/>
      <c r="H157" s="2"/>
      <c r="I157" s="2"/>
    </row>
    <row r="158" ht="14.25" customHeight="1">
      <c r="A158" s="59">
        <v>46148.0</v>
      </c>
      <c r="B158" s="2" t="s">
        <v>67</v>
      </c>
      <c r="C158" s="2"/>
      <c r="D158" s="2" t="s">
        <v>283</v>
      </c>
      <c r="E158" s="2">
        <v>8.0</v>
      </c>
      <c r="F158" s="2"/>
      <c r="G158" s="2"/>
      <c r="H158" s="2"/>
      <c r="I158" s="2"/>
    </row>
    <row r="159" ht="14.25" customHeight="1">
      <c r="A159" s="59">
        <v>46148.0</v>
      </c>
      <c r="B159" s="2" t="s">
        <v>66</v>
      </c>
      <c r="C159" s="2" t="s">
        <v>296</v>
      </c>
      <c r="D159" s="2" t="s">
        <v>237</v>
      </c>
      <c r="E159" s="2">
        <v>32.0</v>
      </c>
      <c r="F159" s="2">
        <v>70.0</v>
      </c>
      <c r="G159" s="2">
        <v>7.0</v>
      </c>
      <c r="H159" s="2">
        <v>4.0</v>
      </c>
      <c r="I159" s="2"/>
    </row>
    <row r="160" ht="14.25" customHeight="1">
      <c r="A160" s="59">
        <v>46148.0</v>
      </c>
      <c r="B160" s="2" t="s">
        <v>66</v>
      </c>
      <c r="C160" s="2" t="s">
        <v>297</v>
      </c>
      <c r="D160" s="2" t="s">
        <v>283</v>
      </c>
      <c r="E160" s="2">
        <v>6.0</v>
      </c>
      <c r="F160" s="2">
        <v>29.0</v>
      </c>
      <c r="G160" s="2"/>
      <c r="H160" s="2"/>
      <c r="I160" s="2"/>
    </row>
    <row r="161" ht="14.25" customHeight="1">
      <c r="A161" s="59">
        <v>46148.0</v>
      </c>
      <c r="B161" s="2" t="s">
        <v>66</v>
      </c>
      <c r="C161" s="2"/>
      <c r="D161" s="2" t="s">
        <v>237</v>
      </c>
      <c r="E161" s="2"/>
      <c r="F161" s="2"/>
      <c r="G161" s="2">
        <v>7.0</v>
      </c>
      <c r="H161" s="2"/>
      <c r="I161" s="2"/>
    </row>
    <row r="162" ht="14.25" customHeight="1">
      <c r="A162" s="59">
        <v>46148.0</v>
      </c>
      <c r="B162" s="2" t="s">
        <v>66</v>
      </c>
      <c r="C162" s="2"/>
      <c r="D162" s="2" t="s">
        <v>25</v>
      </c>
      <c r="E162" s="2"/>
      <c r="F162" s="2"/>
      <c r="G162" s="2">
        <v>1.0</v>
      </c>
      <c r="H162" s="2">
        <v>1.0</v>
      </c>
      <c r="I162" s="2"/>
    </row>
    <row r="163" ht="14.25" customHeight="1">
      <c r="A163" s="59">
        <v>46147.0</v>
      </c>
      <c r="B163" s="2" t="s">
        <v>67</v>
      </c>
      <c r="C163" s="2" t="s">
        <v>289</v>
      </c>
      <c r="D163" s="2" t="s">
        <v>237</v>
      </c>
      <c r="E163" s="2"/>
      <c r="F163" s="2">
        <v>73.0</v>
      </c>
      <c r="G163" s="2">
        <v>11.0</v>
      </c>
      <c r="H163" s="2"/>
      <c r="I163" s="2" t="s">
        <v>253</v>
      </c>
    </row>
    <row r="164" ht="14.25" customHeight="1">
      <c r="A164" s="59">
        <v>46147.0</v>
      </c>
      <c r="B164" s="2" t="s">
        <v>67</v>
      </c>
      <c r="C164" s="2"/>
      <c r="D164" s="2" t="s">
        <v>237</v>
      </c>
      <c r="E164" s="2">
        <v>30.0</v>
      </c>
      <c r="F164" s="2"/>
      <c r="G164" s="2"/>
      <c r="H164" s="2"/>
      <c r="I164" s="2"/>
    </row>
    <row r="165" ht="14.25" customHeight="1">
      <c r="A165" s="59">
        <v>46147.0</v>
      </c>
      <c r="B165" s="2" t="s">
        <v>67</v>
      </c>
      <c r="C165" s="2"/>
      <c r="D165" s="2" t="s">
        <v>283</v>
      </c>
      <c r="E165" s="2">
        <v>5.0</v>
      </c>
      <c r="F165" s="2"/>
      <c r="G165" s="2"/>
      <c r="H165" s="2"/>
      <c r="I165" s="2"/>
    </row>
    <row r="166" ht="14.25" customHeight="1">
      <c r="A166" s="59">
        <v>46147.0</v>
      </c>
      <c r="B166" s="2" t="s">
        <v>66</v>
      </c>
      <c r="C166" s="2" t="s">
        <v>296</v>
      </c>
      <c r="D166" s="2" t="s">
        <v>237</v>
      </c>
      <c r="E166" s="2">
        <v>59.0</v>
      </c>
      <c r="F166" s="2">
        <v>77.0</v>
      </c>
      <c r="G166" s="2">
        <v>7.0</v>
      </c>
      <c r="H166" s="2"/>
      <c r="I166" s="2"/>
    </row>
    <row r="167" ht="14.25" customHeight="1">
      <c r="A167" s="59">
        <v>46147.0</v>
      </c>
      <c r="B167" s="2" t="s">
        <v>66</v>
      </c>
      <c r="C167" s="2" t="s">
        <v>298</v>
      </c>
      <c r="D167" s="2" t="s">
        <v>28</v>
      </c>
      <c r="E167" s="2">
        <v>5.0</v>
      </c>
      <c r="F167" s="2"/>
      <c r="G167" s="2"/>
      <c r="H167" s="2"/>
      <c r="I167" s="2"/>
    </row>
    <row r="168" ht="14.25" customHeight="1">
      <c r="A168" s="59">
        <v>46147.0</v>
      </c>
      <c r="B168" s="2" t="s">
        <v>66</v>
      </c>
      <c r="C168" s="2"/>
      <c r="D168" s="2" t="s">
        <v>237</v>
      </c>
      <c r="E168" s="2"/>
      <c r="F168" s="2"/>
      <c r="G168" s="2">
        <v>8.0</v>
      </c>
      <c r="H168" s="2"/>
      <c r="I168" s="2"/>
    </row>
    <row r="169" ht="14.25" customHeight="1">
      <c r="A169" s="59">
        <v>46147.0</v>
      </c>
      <c r="B169" s="2" t="s">
        <v>66</v>
      </c>
      <c r="C169" s="2"/>
      <c r="D169" s="2" t="s">
        <v>25</v>
      </c>
      <c r="E169" s="2"/>
      <c r="F169" s="2"/>
      <c r="G169" s="2"/>
      <c r="H169" s="2">
        <v>3.0</v>
      </c>
      <c r="I169" s="2"/>
    </row>
    <row r="170" ht="14.25" customHeight="1">
      <c r="A170" s="59">
        <v>46146.0</v>
      </c>
      <c r="B170" s="2" t="s">
        <v>54</v>
      </c>
      <c r="C170" s="2" t="s">
        <v>296</v>
      </c>
      <c r="D170" s="2" t="s">
        <v>237</v>
      </c>
      <c r="E170" s="2">
        <v>26.0</v>
      </c>
      <c r="F170" s="2">
        <v>76.0</v>
      </c>
      <c r="G170" s="2">
        <v>11.0</v>
      </c>
      <c r="H170" s="2"/>
      <c r="I170" s="2" t="s">
        <v>285</v>
      </c>
    </row>
    <row r="171" ht="14.25" customHeight="1">
      <c r="A171" s="59">
        <v>46146.0</v>
      </c>
      <c r="B171" s="2" t="s">
        <v>54</v>
      </c>
      <c r="C171" s="2" t="s">
        <v>291</v>
      </c>
      <c r="D171" s="2" t="s">
        <v>25</v>
      </c>
      <c r="E171" s="2"/>
      <c r="F171" s="2"/>
      <c r="G171" s="2"/>
      <c r="H171" s="2">
        <v>3.0</v>
      </c>
      <c r="I171" s="2" t="s">
        <v>263</v>
      </c>
    </row>
    <row r="172" ht="14.25" customHeight="1">
      <c r="A172" s="59">
        <v>46146.0</v>
      </c>
      <c r="B172" s="2" t="s">
        <v>54</v>
      </c>
      <c r="C172" s="2" t="s">
        <v>299</v>
      </c>
      <c r="D172" s="2" t="s">
        <v>25</v>
      </c>
      <c r="E172" s="2">
        <v>15.0</v>
      </c>
      <c r="F172" s="2"/>
      <c r="G172" s="2">
        <v>4.0</v>
      </c>
      <c r="H172" s="2"/>
      <c r="I172" s="2" t="s">
        <v>264</v>
      </c>
    </row>
    <row r="173" ht="14.25" customHeight="1">
      <c r="A173" s="59">
        <v>46146.0</v>
      </c>
      <c r="B173" s="2" t="s">
        <v>67</v>
      </c>
      <c r="C173" s="2" t="s">
        <v>296</v>
      </c>
      <c r="D173" s="2" t="s">
        <v>237</v>
      </c>
      <c r="E173" s="2">
        <v>70.0</v>
      </c>
      <c r="F173" s="2">
        <v>90.0</v>
      </c>
      <c r="G173" s="2">
        <v>13.0</v>
      </c>
      <c r="H173" s="2"/>
      <c r="I173" s="2" t="s">
        <v>253</v>
      </c>
    </row>
    <row r="174" ht="14.25" customHeight="1">
      <c r="A174" s="59">
        <v>46146.0</v>
      </c>
      <c r="B174" s="2" t="s">
        <v>67</v>
      </c>
      <c r="C174" s="2"/>
      <c r="D174" s="2" t="s">
        <v>237</v>
      </c>
      <c r="E174" s="2"/>
      <c r="F174" s="2"/>
      <c r="G174" s="2"/>
      <c r="H174" s="2"/>
      <c r="I174" s="2"/>
    </row>
    <row r="175" ht="14.25" customHeight="1">
      <c r="A175" s="59">
        <v>46146.0</v>
      </c>
      <c r="B175" s="2" t="s">
        <v>54</v>
      </c>
      <c r="C175" s="2" t="s">
        <v>238</v>
      </c>
      <c r="D175" s="2" t="s">
        <v>25</v>
      </c>
      <c r="E175" s="2">
        <v>4.0</v>
      </c>
      <c r="F175" s="2">
        <v>20.0</v>
      </c>
      <c r="G175" s="2">
        <v>5.0</v>
      </c>
      <c r="H175" s="2"/>
      <c r="I175" s="2"/>
    </row>
    <row r="176" ht="14.25" customHeight="1">
      <c r="A176" s="59">
        <v>46146.0</v>
      </c>
      <c r="B176" s="2" t="s">
        <v>54</v>
      </c>
      <c r="C176" s="2" t="s">
        <v>300</v>
      </c>
      <c r="D176" s="2" t="s">
        <v>237</v>
      </c>
      <c r="E176" s="2">
        <v>21.0</v>
      </c>
      <c r="F176" s="2">
        <v>32.0</v>
      </c>
      <c r="G176" s="2"/>
      <c r="H176" s="2"/>
      <c r="I176" s="2"/>
    </row>
    <row r="177" ht="14.25" customHeight="1">
      <c r="A177" s="59">
        <v>46140.0</v>
      </c>
      <c r="B177" s="2" t="s">
        <v>54</v>
      </c>
      <c r="C177" s="2" t="s">
        <v>291</v>
      </c>
      <c r="D177" s="2" t="s">
        <v>25</v>
      </c>
      <c r="E177" s="2"/>
      <c r="F177" s="2"/>
      <c r="G177" s="2">
        <v>4.0</v>
      </c>
      <c r="H177" s="2"/>
      <c r="I177" s="2"/>
    </row>
    <row r="178" ht="14.25" customHeight="1">
      <c r="A178" s="59">
        <v>46136.0</v>
      </c>
      <c r="B178" s="2" t="s">
        <v>54</v>
      </c>
      <c r="C178" s="2" t="s">
        <v>301</v>
      </c>
      <c r="D178" s="2" t="s">
        <v>25</v>
      </c>
      <c r="E178" s="2">
        <v>18.0</v>
      </c>
      <c r="F178" s="2">
        <v>2.0</v>
      </c>
      <c r="G178" s="2">
        <v>7.0</v>
      </c>
      <c r="H178" s="2"/>
      <c r="I178" s="2"/>
    </row>
    <row r="179" ht="14.25" customHeight="1">
      <c r="A179" s="59">
        <v>46140.0</v>
      </c>
      <c r="B179" s="2" t="s">
        <v>67</v>
      </c>
      <c r="C179" s="2"/>
      <c r="D179" s="2"/>
      <c r="E179" s="2"/>
      <c r="F179" s="2"/>
      <c r="G179" s="2">
        <v>7.0</v>
      </c>
      <c r="H179" s="2"/>
      <c r="I179" s="2"/>
    </row>
    <row r="180" ht="14.25" customHeight="1">
      <c r="A180" s="59">
        <v>46140.0</v>
      </c>
      <c r="B180" s="2" t="s">
        <v>67</v>
      </c>
      <c r="C180" s="2" t="s">
        <v>302</v>
      </c>
      <c r="D180" s="2" t="s">
        <v>237</v>
      </c>
      <c r="E180" s="2">
        <v>34.0</v>
      </c>
      <c r="F180" s="2">
        <v>78.0</v>
      </c>
      <c r="G180" s="2"/>
      <c r="H180" s="2"/>
      <c r="I180" s="2" t="s">
        <v>253</v>
      </c>
    </row>
    <row r="181" ht="14.25" customHeight="1">
      <c r="A181" s="59">
        <v>46140.0</v>
      </c>
      <c r="B181" s="2" t="s">
        <v>67</v>
      </c>
      <c r="C181" s="2"/>
      <c r="D181" s="2" t="s">
        <v>28</v>
      </c>
      <c r="E181" s="2">
        <v>4.0</v>
      </c>
      <c r="F181" s="2"/>
      <c r="G181" s="2"/>
      <c r="H181" s="2"/>
      <c r="I181" s="2"/>
    </row>
    <row r="182" ht="14.25" customHeight="1">
      <c r="A182" s="59">
        <v>46140.0</v>
      </c>
      <c r="B182" s="2" t="s">
        <v>66</v>
      </c>
      <c r="C182" s="2" t="s">
        <v>303</v>
      </c>
      <c r="D182" s="2" t="s">
        <v>25</v>
      </c>
      <c r="E182" s="2">
        <v>6.0</v>
      </c>
      <c r="F182" s="2"/>
      <c r="G182" s="2"/>
      <c r="H182" s="2"/>
      <c r="I182" s="2"/>
    </row>
    <row r="183" ht="14.25" customHeight="1">
      <c r="A183" s="59">
        <v>46140.0</v>
      </c>
      <c r="B183" s="2" t="s">
        <v>66</v>
      </c>
      <c r="C183" s="2" t="s">
        <v>302</v>
      </c>
      <c r="D183" s="2" t="s">
        <v>237</v>
      </c>
      <c r="E183" s="2">
        <v>41.0</v>
      </c>
      <c r="F183" s="2">
        <v>66.0</v>
      </c>
      <c r="G183" s="2">
        <v>7.0</v>
      </c>
      <c r="H183" s="2"/>
      <c r="I183" s="2"/>
    </row>
    <row r="184" ht="14.25" customHeight="1">
      <c r="A184" s="59">
        <v>46140.0</v>
      </c>
      <c r="B184" s="2" t="s">
        <v>66</v>
      </c>
      <c r="C184" s="2"/>
      <c r="D184" s="2" t="s">
        <v>237</v>
      </c>
      <c r="E184" s="2"/>
      <c r="F184" s="2"/>
      <c r="G184" s="2">
        <v>2.0</v>
      </c>
      <c r="H184" s="2"/>
      <c r="I184" s="2"/>
    </row>
    <row r="185" ht="14.25" customHeight="1">
      <c r="A185" s="59">
        <v>46140.0</v>
      </c>
      <c r="B185" s="2" t="s">
        <v>66</v>
      </c>
      <c r="C185" s="2"/>
      <c r="D185" s="2" t="s">
        <v>25</v>
      </c>
      <c r="E185" s="2"/>
      <c r="F185" s="2"/>
      <c r="G185" s="2">
        <v>1.0</v>
      </c>
      <c r="H185" s="2"/>
      <c r="I185" s="2"/>
    </row>
    <row r="186" ht="14.25" customHeight="1">
      <c r="A186" s="59">
        <v>46139.0</v>
      </c>
      <c r="B186" s="2" t="s">
        <v>67</v>
      </c>
      <c r="C186" s="2" t="s">
        <v>302</v>
      </c>
      <c r="D186" s="2" t="s">
        <v>237</v>
      </c>
      <c r="E186" s="2"/>
      <c r="F186" s="2">
        <v>70.0</v>
      </c>
      <c r="G186" s="2">
        <v>7.0</v>
      </c>
      <c r="H186" s="2"/>
      <c r="I186" s="2"/>
    </row>
    <row r="187" ht="14.25" customHeight="1">
      <c r="A187" s="59">
        <v>46139.0</v>
      </c>
      <c r="B187" s="2" t="s">
        <v>67</v>
      </c>
      <c r="C187" s="2"/>
      <c r="D187" s="2" t="s">
        <v>25</v>
      </c>
      <c r="E187" s="2">
        <v>3.0</v>
      </c>
      <c r="F187" s="2"/>
      <c r="G187" s="2"/>
      <c r="H187" s="2"/>
      <c r="I187" s="2"/>
    </row>
    <row r="188" ht="14.25" customHeight="1">
      <c r="A188" s="59">
        <v>46139.0</v>
      </c>
      <c r="B188" s="2" t="s">
        <v>67</v>
      </c>
      <c r="C188" s="2"/>
      <c r="D188" s="2" t="s">
        <v>237</v>
      </c>
      <c r="E188" s="2">
        <v>42.0</v>
      </c>
      <c r="F188" s="2"/>
      <c r="G188" s="2"/>
      <c r="H188" s="2"/>
      <c r="I188" s="2"/>
    </row>
    <row r="189" ht="14.25" customHeight="1">
      <c r="A189" s="59">
        <v>46139.0</v>
      </c>
      <c r="B189" s="2" t="s">
        <v>66</v>
      </c>
      <c r="C189" s="2" t="s">
        <v>303</v>
      </c>
      <c r="D189" s="2" t="s">
        <v>25</v>
      </c>
      <c r="E189" s="2">
        <v>8.0</v>
      </c>
      <c r="F189" s="2"/>
      <c r="G189" s="2">
        <v>2.0</v>
      </c>
      <c r="H189" s="2"/>
      <c r="I189" s="2"/>
    </row>
    <row r="190" ht="14.25" customHeight="1">
      <c r="A190" s="59">
        <v>46139.0</v>
      </c>
      <c r="B190" s="2" t="s">
        <v>66</v>
      </c>
      <c r="C190" s="2" t="s">
        <v>302</v>
      </c>
      <c r="D190" s="2" t="s">
        <v>237</v>
      </c>
      <c r="E190" s="2">
        <v>26.0</v>
      </c>
      <c r="F190" s="2">
        <v>66.0</v>
      </c>
      <c r="G190" s="2">
        <v>4.0</v>
      </c>
      <c r="H190" s="2"/>
      <c r="I190" s="2"/>
    </row>
    <row r="191" ht="14.25" customHeight="1">
      <c r="A191" s="59">
        <v>46139.0</v>
      </c>
      <c r="B191" s="2" t="s">
        <v>66</v>
      </c>
      <c r="C191" s="2"/>
      <c r="D191" s="2" t="s">
        <v>25</v>
      </c>
      <c r="E191" s="2"/>
      <c r="F191" s="2"/>
      <c r="G191" s="2">
        <v>2.0</v>
      </c>
      <c r="H191" s="2"/>
      <c r="I191" s="2"/>
    </row>
    <row r="192" ht="14.25" customHeight="1">
      <c r="A192" s="59">
        <v>46139.0</v>
      </c>
      <c r="B192" s="2" t="s">
        <v>66</v>
      </c>
      <c r="C192" s="2"/>
      <c r="D192" s="2" t="s">
        <v>237</v>
      </c>
      <c r="E192" s="2"/>
      <c r="F192" s="2"/>
      <c r="G192" s="2">
        <v>2.0</v>
      </c>
      <c r="H192" s="2"/>
      <c r="I192" s="2"/>
    </row>
    <row r="193" ht="14.25" customHeight="1">
      <c r="A193" s="59">
        <v>46139.0</v>
      </c>
      <c r="B193" s="2" t="s">
        <v>54</v>
      </c>
      <c r="C193" s="2" t="s">
        <v>302</v>
      </c>
      <c r="D193" s="2" t="s">
        <v>237</v>
      </c>
      <c r="E193" s="2">
        <v>39.0</v>
      </c>
      <c r="F193" s="2">
        <v>53.0</v>
      </c>
      <c r="G193" s="2">
        <v>6.0</v>
      </c>
      <c r="H193" s="2"/>
      <c r="I193" s="2" t="s">
        <v>285</v>
      </c>
    </row>
    <row r="194" ht="14.25" customHeight="1">
      <c r="A194" s="59">
        <v>46139.0</v>
      </c>
      <c r="B194" s="2" t="s">
        <v>54</v>
      </c>
      <c r="C194" s="2" t="s">
        <v>303</v>
      </c>
      <c r="D194" s="2" t="s">
        <v>25</v>
      </c>
      <c r="E194" s="2">
        <v>2.0</v>
      </c>
      <c r="F194" s="2"/>
      <c r="G194" s="2"/>
      <c r="H194" s="2"/>
      <c r="I194" s="2" t="s">
        <v>264</v>
      </c>
    </row>
    <row r="195" ht="14.25" customHeight="1">
      <c r="A195" s="59">
        <v>46139.0</v>
      </c>
      <c r="B195" s="2" t="s">
        <v>54</v>
      </c>
      <c r="C195" s="2" t="s">
        <v>249</v>
      </c>
      <c r="D195" s="2" t="s">
        <v>237</v>
      </c>
      <c r="E195" s="2"/>
      <c r="F195" s="2"/>
      <c r="G195" s="2">
        <v>3.0</v>
      </c>
      <c r="H195" s="2"/>
      <c r="I195" s="2" t="s">
        <v>264</v>
      </c>
    </row>
    <row r="196" ht="14.25" customHeight="1">
      <c r="A196" s="59">
        <v>46139.0</v>
      </c>
      <c r="B196" s="2" t="s">
        <v>54</v>
      </c>
      <c r="C196" s="2"/>
      <c r="D196" s="2" t="s">
        <v>25</v>
      </c>
      <c r="E196" s="2"/>
      <c r="F196" s="2"/>
      <c r="G196" s="2">
        <v>1.0</v>
      </c>
      <c r="H196" s="2"/>
      <c r="I196" s="2" t="s">
        <v>253</v>
      </c>
    </row>
    <row r="197" ht="14.25" customHeight="1">
      <c r="A197" s="59">
        <v>46135.0</v>
      </c>
      <c r="B197" s="2" t="s">
        <v>67</v>
      </c>
      <c r="C197" s="2" t="s">
        <v>304</v>
      </c>
      <c r="D197" s="2" t="s">
        <v>28</v>
      </c>
      <c r="E197" s="2">
        <v>15.0</v>
      </c>
      <c r="F197" s="2">
        <v>73.0</v>
      </c>
      <c r="G197" s="2">
        <v>5.0</v>
      </c>
      <c r="H197" s="2"/>
      <c r="I197" s="2"/>
    </row>
    <row r="198" ht="14.25" customHeight="1">
      <c r="A198" s="59">
        <v>46135.0</v>
      </c>
      <c r="B198" s="2" t="s">
        <v>67</v>
      </c>
      <c r="C198" s="2"/>
      <c r="D198" s="2" t="s">
        <v>237</v>
      </c>
      <c r="E198" s="2"/>
      <c r="F198" s="2"/>
      <c r="G198" s="2"/>
      <c r="H198" s="2"/>
      <c r="I198" s="2"/>
    </row>
    <row r="199" ht="14.25" customHeight="1">
      <c r="A199" s="59">
        <v>46136.0</v>
      </c>
      <c r="B199" s="2" t="s">
        <v>66</v>
      </c>
      <c r="C199" s="2" t="s">
        <v>305</v>
      </c>
      <c r="D199" s="2" t="s">
        <v>237</v>
      </c>
      <c r="E199" s="2">
        <v>63.0</v>
      </c>
      <c r="F199" s="2">
        <v>65.0</v>
      </c>
      <c r="G199" s="2">
        <v>7.0</v>
      </c>
      <c r="H199" s="2"/>
      <c r="I199" s="2"/>
    </row>
    <row r="200" ht="14.25" customHeight="1">
      <c r="A200" s="59">
        <v>46136.0</v>
      </c>
      <c r="B200" s="2" t="s">
        <v>66</v>
      </c>
      <c r="C200" s="2"/>
      <c r="D200" s="2" t="s">
        <v>237</v>
      </c>
      <c r="E200" s="2"/>
      <c r="F200" s="2"/>
      <c r="G200" s="2">
        <v>6.0</v>
      </c>
      <c r="H200" s="2"/>
      <c r="I200" s="2"/>
    </row>
    <row r="201" ht="14.25" customHeight="1">
      <c r="A201" s="59">
        <v>46136.0</v>
      </c>
      <c r="B201" s="2" t="s">
        <v>67</v>
      </c>
      <c r="C201" s="2" t="s">
        <v>305</v>
      </c>
      <c r="D201" s="2" t="s">
        <v>237</v>
      </c>
      <c r="E201" s="2">
        <v>6.0</v>
      </c>
      <c r="F201" s="2">
        <v>77.0</v>
      </c>
      <c r="G201" s="2">
        <v>12.0</v>
      </c>
      <c r="H201" s="2"/>
      <c r="I201" s="2"/>
    </row>
  </sheetData>
  <mergeCells count="3">
    <mergeCell ref="A1:I1"/>
    <mergeCell ref="A2:I2"/>
    <mergeCell ref="A3:I3"/>
  </mergeCells>
  <printOptions/>
  <pageMargins bottom="1.0" footer="0.0" header="0.0" left="0.75" right="0.75" top="1.0"/>
  <pageSetup paperSize="9" orientation="portrait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12.0"/>
    <col customWidth="1" min="2" max="2" width="9.0"/>
    <col customWidth="1" min="3" max="4" width="22.0"/>
    <col customWidth="1" min="5" max="5" width="16.0"/>
    <col customWidth="1" min="6" max="6" width="13.0"/>
    <col customWidth="1" min="7" max="7" width="30.0"/>
    <col customWidth="1" min="8" max="11" width="8.71"/>
  </cols>
  <sheetData>
    <row r="1" ht="18.0" customHeight="1">
      <c r="A1" s="1" t="s">
        <v>306</v>
      </c>
    </row>
    <row r="2" ht="25.5" customHeight="1">
      <c r="A2" s="30" t="s">
        <v>307</v>
      </c>
      <c r="B2" s="31"/>
      <c r="C2" s="31"/>
      <c r="D2" s="31"/>
      <c r="E2" s="31"/>
      <c r="F2" s="31"/>
      <c r="G2" s="32"/>
    </row>
    <row r="3" ht="30.0" customHeight="1">
      <c r="A3" s="10" t="s">
        <v>308</v>
      </c>
    </row>
    <row r="4" ht="31.5" customHeight="1">
      <c r="A4" s="7" t="s">
        <v>43</v>
      </c>
      <c r="B4" s="7" t="s">
        <v>44</v>
      </c>
      <c r="C4" s="7" t="s">
        <v>45</v>
      </c>
      <c r="D4" s="7" t="s">
        <v>309</v>
      </c>
      <c r="E4" s="7" t="s">
        <v>310</v>
      </c>
      <c r="F4" s="7" t="s">
        <v>311</v>
      </c>
      <c r="G4" s="7" t="s">
        <v>312</v>
      </c>
    </row>
    <row r="5" ht="27.75" customHeight="1">
      <c r="A5" s="11" t="s">
        <v>313</v>
      </c>
      <c r="B5" s="11" t="s">
        <v>54</v>
      </c>
      <c r="C5" s="11" t="s">
        <v>24</v>
      </c>
      <c r="D5" s="54" t="s">
        <v>314</v>
      </c>
      <c r="E5" s="11">
        <v>80.0</v>
      </c>
      <c r="F5" s="18"/>
      <c r="G5" s="54" t="s">
        <v>315</v>
      </c>
    </row>
    <row r="6" ht="15.0" customHeight="1">
      <c r="A6" s="11" t="s">
        <v>316</v>
      </c>
      <c r="B6" s="11" t="s">
        <v>54</v>
      </c>
      <c r="C6" s="11" t="s">
        <v>30</v>
      </c>
      <c r="D6" s="54" t="s">
        <v>317</v>
      </c>
      <c r="E6" s="11">
        <v>40.0</v>
      </c>
      <c r="F6" s="18"/>
      <c r="G6" s="53"/>
    </row>
    <row r="7" ht="15.0" customHeight="1">
      <c r="A7" s="11" t="s">
        <v>318</v>
      </c>
      <c r="B7" s="11" t="s">
        <v>66</v>
      </c>
      <c r="C7" s="11" t="s">
        <v>27</v>
      </c>
      <c r="D7" s="54" t="s">
        <v>319</v>
      </c>
      <c r="E7" s="11">
        <v>27.0</v>
      </c>
      <c r="F7" s="11" t="s">
        <v>320</v>
      </c>
      <c r="G7" s="54" t="s">
        <v>321</v>
      </c>
    </row>
    <row r="8" ht="15.0" customHeight="1">
      <c r="A8" s="11" t="s">
        <v>322</v>
      </c>
      <c r="B8" s="11" t="s">
        <v>66</v>
      </c>
      <c r="C8" s="11" t="s">
        <v>323</v>
      </c>
      <c r="D8" s="54" t="s">
        <v>324</v>
      </c>
      <c r="E8" s="11">
        <v>55.0</v>
      </c>
      <c r="F8" s="18"/>
      <c r="G8" s="53"/>
    </row>
    <row r="9" ht="15.0" customHeight="1">
      <c r="A9" s="11" t="s">
        <v>325</v>
      </c>
      <c r="B9" s="11" t="s">
        <v>66</v>
      </c>
      <c r="C9" s="11" t="s">
        <v>24</v>
      </c>
      <c r="D9" s="54" t="s">
        <v>326</v>
      </c>
      <c r="E9" s="11">
        <v>140.0</v>
      </c>
      <c r="F9" s="18"/>
      <c r="G9" s="53"/>
    </row>
    <row r="10" ht="15.0" customHeight="1">
      <c r="A10" s="11" t="s">
        <v>325</v>
      </c>
      <c r="B10" s="11" t="s">
        <v>66</v>
      </c>
      <c r="C10" s="11" t="s">
        <v>27</v>
      </c>
      <c r="D10" s="54" t="s">
        <v>327</v>
      </c>
      <c r="E10" s="11">
        <v>113.0</v>
      </c>
      <c r="F10" s="11" t="s">
        <v>328</v>
      </c>
      <c r="G10" s="54" t="s">
        <v>329</v>
      </c>
    </row>
    <row r="11" ht="15.0" customHeight="1">
      <c r="A11" s="11" t="s">
        <v>330</v>
      </c>
      <c r="B11" s="11" t="s">
        <v>66</v>
      </c>
      <c r="C11" s="11" t="s">
        <v>24</v>
      </c>
      <c r="D11" s="54" t="s">
        <v>331</v>
      </c>
      <c r="E11" s="11">
        <v>240.0</v>
      </c>
      <c r="F11" s="18"/>
      <c r="G11" s="54" t="s">
        <v>332</v>
      </c>
    </row>
    <row r="12" ht="15.0" customHeight="1">
      <c r="A12" s="11" t="s">
        <v>333</v>
      </c>
      <c r="B12" s="11" t="s">
        <v>66</v>
      </c>
      <c r="C12" s="11" t="s">
        <v>27</v>
      </c>
      <c r="D12" s="54" t="s">
        <v>334</v>
      </c>
      <c r="E12" s="11">
        <v>60.0</v>
      </c>
      <c r="F12" s="11" t="s">
        <v>328</v>
      </c>
      <c r="G12" s="54" t="s">
        <v>335</v>
      </c>
    </row>
    <row r="13" ht="15.0" customHeight="1">
      <c r="A13" s="11" t="s">
        <v>333</v>
      </c>
      <c r="B13" s="11" t="s">
        <v>66</v>
      </c>
      <c r="C13" s="11" t="s">
        <v>24</v>
      </c>
      <c r="D13" s="54" t="s">
        <v>336</v>
      </c>
      <c r="E13" s="11">
        <v>115.0</v>
      </c>
      <c r="F13" s="11" t="s">
        <v>328</v>
      </c>
      <c r="G13" s="54" t="s">
        <v>335</v>
      </c>
    </row>
    <row r="14" ht="15.0" customHeight="1">
      <c r="A14" s="11" t="s">
        <v>337</v>
      </c>
      <c r="B14" s="11" t="s">
        <v>54</v>
      </c>
      <c r="C14" s="11" t="s">
        <v>27</v>
      </c>
      <c r="D14" s="54" t="s">
        <v>338</v>
      </c>
      <c r="E14" s="11">
        <v>10.0</v>
      </c>
      <c r="F14" s="11" t="s">
        <v>320</v>
      </c>
      <c r="G14" s="54" t="s">
        <v>339</v>
      </c>
    </row>
    <row r="15" ht="15.0" customHeight="1">
      <c r="A15" s="11" t="s">
        <v>340</v>
      </c>
      <c r="B15" s="11" t="s">
        <v>66</v>
      </c>
      <c r="C15" s="11" t="s">
        <v>24</v>
      </c>
      <c r="D15" s="53"/>
      <c r="E15" s="18"/>
      <c r="F15" s="18"/>
      <c r="G15" s="53"/>
    </row>
    <row r="16" ht="15.0" customHeight="1">
      <c r="A16" s="11" t="s">
        <v>341</v>
      </c>
      <c r="B16" s="11" t="s">
        <v>54</v>
      </c>
      <c r="C16" s="11" t="s">
        <v>24</v>
      </c>
      <c r="D16" s="54" t="s">
        <v>342</v>
      </c>
      <c r="E16" s="11">
        <v>150.0</v>
      </c>
      <c r="F16" s="18"/>
      <c r="G16" s="54" t="s">
        <v>343</v>
      </c>
    </row>
    <row r="17" ht="15.0" customHeight="1">
      <c r="A17" s="11" t="s">
        <v>341</v>
      </c>
      <c r="B17" s="11" t="s">
        <v>54</v>
      </c>
      <c r="C17" s="11" t="s">
        <v>27</v>
      </c>
      <c r="D17" s="54" t="s">
        <v>344</v>
      </c>
      <c r="E17" s="11">
        <v>100.0</v>
      </c>
      <c r="F17" s="18"/>
      <c r="G17" s="54" t="s">
        <v>345</v>
      </c>
    </row>
    <row r="18" ht="15.0" customHeight="1">
      <c r="A18" s="18"/>
      <c r="B18" s="18"/>
      <c r="C18" s="18"/>
      <c r="D18" s="53"/>
      <c r="E18" s="18"/>
      <c r="F18" s="18"/>
      <c r="G18" s="53"/>
    </row>
    <row r="19" ht="15.0" customHeight="1">
      <c r="A19" s="18"/>
      <c r="B19" s="18"/>
      <c r="C19" s="18"/>
      <c r="D19" s="53"/>
      <c r="E19" s="18"/>
      <c r="F19" s="18"/>
      <c r="G19" s="53"/>
    </row>
    <row r="20" ht="15.0" customHeight="1">
      <c r="A20" s="18"/>
      <c r="B20" s="18"/>
      <c r="C20" s="18"/>
      <c r="D20" s="53"/>
      <c r="E20" s="18"/>
      <c r="F20" s="18"/>
      <c r="G20" s="53"/>
    </row>
    <row r="21" ht="15.0" customHeight="1">
      <c r="A21" s="18"/>
      <c r="B21" s="18"/>
      <c r="C21" s="18"/>
      <c r="D21" s="53"/>
      <c r="E21" s="18"/>
      <c r="F21" s="18"/>
      <c r="G21" s="53"/>
    </row>
    <row r="22" ht="15.0" customHeight="1">
      <c r="A22" s="18"/>
      <c r="B22" s="18"/>
      <c r="C22" s="18"/>
      <c r="D22" s="53"/>
      <c r="E22" s="18"/>
      <c r="F22" s="18"/>
      <c r="G22" s="53"/>
    </row>
    <row r="23" ht="15.0" customHeight="1">
      <c r="A23" s="18"/>
      <c r="B23" s="18"/>
      <c r="C23" s="18"/>
      <c r="D23" s="53"/>
      <c r="E23" s="18"/>
      <c r="F23" s="18"/>
      <c r="G23" s="53"/>
    </row>
    <row r="24" ht="15.0" customHeight="1">
      <c r="A24" s="18"/>
      <c r="B24" s="18"/>
      <c r="C24" s="18"/>
      <c r="D24" s="53"/>
      <c r="E24" s="18"/>
      <c r="F24" s="18"/>
      <c r="G24" s="53"/>
    </row>
    <row r="25" ht="15.0" customHeight="1">
      <c r="A25" s="18"/>
      <c r="B25" s="18"/>
      <c r="C25" s="18"/>
      <c r="D25" s="53"/>
      <c r="E25" s="18"/>
      <c r="F25" s="18"/>
      <c r="G25" s="53"/>
    </row>
    <row r="26" ht="15.0" customHeight="1">
      <c r="A26" s="18"/>
      <c r="B26" s="18"/>
      <c r="C26" s="18"/>
      <c r="D26" s="53"/>
      <c r="E26" s="18"/>
      <c r="F26" s="18"/>
      <c r="G26" s="53"/>
    </row>
    <row r="27" ht="15.0" customHeight="1">
      <c r="A27" s="18"/>
      <c r="B27" s="18"/>
      <c r="C27" s="18"/>
      <c r="D27" s="53"/>
      <c r="E27" s="18"/>
      <c r="F27" s="18"/>
      <c r="G27" s="53"/>
    </row>
    <row r="28" ht="15.0" customHeight="1">
      <c r="A28" s="18"/>
      <c r="B28" s="18"/>
      <c r="C28" s="18"/>
      <c r="D28" s="53"/>
      <c r="E28" s="18"/>
      <c r="F28" s="18"/>
      <c r="G28" s="53"/>
    </row>
    <row r="29" ht="15.0" customHeight="1">
      <c r="A29" s="18"/>
      <c r="B29" s="18"/>
      <c r="C29" s="18"/>
      <c r="D29" s="53"/>
      <c r="E29" s="18"/>
      <c r="F29" s="18"/>
      <c r="G29" s="53"/>
    </row>
    <row r="30" ht="15.0" customHeight="1">
      <c r="A30" s="18"/>
      <c r="B30" s="18"/>
      <c r="C30" s="18"/>
      <c r="D30" s="53"/>
      <c r="E30" s="18"/>
      <c r="F30" s="18"/>
      <c r="G30" s="53"/>
    </row>
    <row r="31" ht="15.0" customHeight="1">
      <c r="A31" s="18"/>
      <c r="B31" s="18"/>
      <c r="C31" s="18"/>
      <c r="D31" s="53"/>
      <c r="E31" s="18"/>
      <c r="F31" s="18"/>
      <c r="G31" s="53"/>
    </row>
    <row r="32" ht="15.0" customHeight="1">
      <c r="A32" s="18"/>
      <c r="B32" s="18"/>
      <c r="C32" s="18"/>
      <c r="D32" s="53"/>
      <c r="E32" s="18"/>
      <c r="F32" s="18"/>
      <c r="G32" s="53"/>
    </row>
    <row r="33" ht="15.75" customHeight="1">
      <c r="A33" s="2"/>
      <c r="B33" s="2"/>
      <c r="C33" s="2"/>
      <c r="D33" s="2"/>
      <c r="E33" s="2"/>
      <c r="F33" s="2"/>
      <c r="G33" s="2"/>
    </row>
    <row r="34" ht="15.75" customHeight="1">
      <c r="A34" s="2"/>
      <c r="B34" s="2"/>
      <c r="C34" s="2"/>
      <c r="D34" s="2"/>
      <c r="E34" s="2"/>
      <c r="F34" s="2"/>
      <c r="G34" s="2"/>
    </row>
    <row r="35" ht="15.75" customHeight="1">
      <c r="A35" s="2"/>
      <c r="B35" s="2"/>
      <c r="C35" s="2"/>
      <c r="D35" s="2"/>
      <c r="E35" s="2"/>
      <c r="F35" s="2"/>
      <c r="G35" s="2"/>
    </row>
    <row r="36" ht="15.75" customHeight="1">
      <c r="A36" s="2"/>
      <c r="B36" s="2"/>
      <c r="C36" s="2"/>
      <c r="D36" s="2"/>
      <c r="E36" s="2"/>
      <c r="F36" s="2"/>
      <c r="G36" s="2"/>
    </row>
    <row r="37" ht="15.75" customHeight="1">
      <c r="A37" s="2"/>
      <c r="B37" s="2"/>
      <c r="C37" s="2"/>
      <c r="D37" s="2"/>
      <c r="E37" s="2"/>
      <c r="F37" s="2"/>
      <c r="G37" s="2"/>
    </row>
    <row r="38" ht="15.75" customHeight="1">
      <c r="A38" s="2"/>
      <c r="B38" s="2"/>
      <c r="C38" s="2"/>
      <c r="D38" s="2"/>
      <c r="E38" s="2"/>
      <c r="F38" s="2"/>
      <c r="G38" s="2"/>
    </row>
    <row r="39" ht="15.75" customHeight="1">
      <c r="A39" s="2"/>
      <c r="B39" s="2"/>
      <c r="C39" s="2"/>
      <c r="D39" s="2"/>
      <c r="E39" s="2"/>
      <c r="F39" s="2"/>
      <c r="G39" s="2"/>
    </row>
    <row r="40" ht="15.75" customHeight="1">
      <c r="A40" s="2"/>
      <c r="B40" s="2"/>
      <c r="C40" s="2"/>
      <c r="D40" s="2"/>
      <c r="E40" s="2"/>
      <c r="F40" s="2"/>
      <c r="G40" s="2"/>
    </row>
    <row r="41" ht="15.75" customHeight="1">
      <c r="A41" s="2"/>
      <c r="B41" s="2"/>
      <c r="C41" s="2"/>
      <c r="D41" s="2"/>
      <c r="E41" s="2"/>
      <c r="F41" s="2"/>
      <c r="G41" s="2"/>
    </row>
    <row r="42" ht="15.75" customHeight="1">
      <c r="A42" s="2"/>
      <c r="B42" s="2"/>
      <c r="C42" s="2"/>
      <c r="D42" s="2"/>
      <c r="E42" s="2"/>
      <c r="F42" s="2"/>
      <c r="G42" s="2"/>
    </row>
    <row r="43" ht="15.75" customHeight="1">
      <c r="A43" s="2"/>
      <c r="B43" s="2"/>
      <c r="C43" s="2"/>
      <c r="D43" s="2"/>
      <c r="E43" s="2"/>
      <c r="F43" s="2"/>
      <c r="G43" s="2"/>
    </row>
    <row r="44" ht="15.75" customHeight="1">
      <c r="A44" s="2"/>
      <c r="B44" s="2"/>
      <c r="C44" s="2"/>
      <c r="D44" s="2"/>
      <c r="E44" s="2"/>
      <c r="F44" s="2"/>
      <c r="G44" s="2"/>
    </row>
    <row r="45" ht="15.75" customHeight="1">
      <c r="A45" s="2"/>
      <c r="B45" s="2"/>
      <c r="C45" s="2"/>
      <c r="D45" s="2"/>
      <c r="E45" s="2"/>
      <c r="F45" s="2"/>
      <c r="G45" s="2"/>
    </row>
    <row r="46" ht="15.75" customHeight="1">
      <c r="A46" s="2"/>
      <c r="B46" s="2"/>
      <c r="C46" s="2"/>
      <c r="D46" s="2"/>
      <c r="E46" s="2"/>
      <c r="F46" s="2"/>
      <c r="G46" s="2"/>
    </row>
    <row r="47" ht="15.75" customHeight="1">
      <c r="A47" s="2"/>
      <c r="B47" s="2"/>
      <c r="C47" s="2"/>
      <c r="D47" s="2"/>
      <c r="E47" s="2"/>
      <c r="F47" s="2"/>
      <c r="G47" s="2"/>
    </row>
    <row r="48" ht="15.75" customHeight="1">
      <c r="A48" s="2"/>
      <c r="B48" s="2"/>
      <c r="C48" s="2"/>
      <c r="D48" s="2"/>
      <c r="E48" s="2"/>
      <c r="F48" s="2"/>
      <c r="G48" s="2"/>
    </row>
    <row r="49" ht="15.75" customHeight="1">
      <c r="A49" s="2"/>
      <c r="B49" s="2"/>
      <c r="C49" s="2"/>
      <c r="D49" s="2"/>
      <c r="E49" s="2"/>
      <c r="F49" s="2"/>
      <c r="G49" s="2"/>
    </row>
    <row r="50" ht="15.75" customHeight="1">
      <c r="A50" s="2"/>
      <c r="B50" s="2"/>
      <c r="C50" s="2"/>
      <c r="D50" s="2"/>
      <c r="E50" s="2"/>
      <c r="F50" s="2"/>
      <c r="G50" s="2"/>
    </row>
    <row r="51" ht="15.75" customHeight="1">
      <c r="A51" s="2"/>
      <c r="B51" s="2"/>
      <c r="C51" s="2"/>
      <c r="D51" s="2"/>
      <c r="E51" s="2"/>
      <c r="F51" s="2"/>
      <c r="G51" s="2"/>
    </row>
    <row r="52" ht="15.75" customHeight="1">
      <c r="A52" s="2"/>
      <c r="B52" s="2"/>
      <c r="C52" s="2"/>
      <c r="D52" s="2"/>
      <c r="E52" s="2"/>
      <c r="F52" s="2"/>
      <c r="G52" s="2"/>
    </row>
    <row r="53" ht="15.75" customHeight="1">
      <c r="A53" s="2"/>
      <c r="B53" s="2"/>
      <c r="C53" s="2"/>
      <c r="D53" s="2"/>
      <c r="E53" s="2"/>
      <c r="F53" s="2"/>
      <c r="G53" s="2"/>
    </row>
    <row r="54" ht="15.75" customHeight="1">
      <c r="A54" s="2"/>
      <c r="B54" s="2"/>
      <c r="C54" s="2"/>
      <c r="D54" s="2"/>
      <c r="E54" s="2"/>
      <c r="F54" s="2"/>
      <c r="G54" s="2"/>
    </row>
    <row r="55" ht="15.75" customHeight="1">
      <c r="A55" s="2"/>
      <c r="B55" s="2"/>
      <c r="C55" s="2"/>
      <c r="D55" s="2"/>
      <c r="E55" s="2"/>
      <c r="F55" s="2"/>
      <c r="G55" s="2"/>
    </row>
    <row r="56" ht="15.75" customHeight="1">
      <c r="A56" s="2"/>
      <c r="B56" s="2"/>
      <c r="C56" s="2"/>
      <c r="D56" s="2"/>
      <c r="E56" s="2"/>
      <c r="F56" s="2"/>
      <c r="G56" s="2"/>
    </row>
    <row r="57" ht="15.75" customHeight="1">
      <c r="A57" s="2"/>
      <c r="B57" s="2"/>
      <c r="C57" s="2"/>
      <c r="D57" s="2"/>
      <c r="E57" s="2"/>
      <c r="F57" s="2"/>
      <c r="G57" s="2"/>
    </row>
    <row r="58" ht="15.75" customHeight="1">
      <c r="A58" s="2"/>
      <c r="B58" s="2"/>
      <c r="C58" s="2"/>
      <c r="D58" s="2"/>
      <c r="E58" s="2"/>
      <c r="F58" s="2"/>
      <c r="G58" s="2"/>
    </row>
    <row r="59" ht="15.75" customHeight="1">
      <c r="A59" s="2"/>
      <c r="B59" s="2"/>
      <c r="C59" s="2"/>
      <c r="D59" s="2"/>
      <c r="E59" s="2"/>
      <c r="F59" s="2"/>
      <c r="G59" s="2"/>
    </row>
    <row r="60" ht="15.75" customHeight="1">
      <c r="A60" s="2"/>
      <c r="B60" s="2"/>
      <c r="C60" s="2"/>
      <c r="D60" s="2"/>
      <c r="E60" s="2"/>
      <c r="F60" s="2"/>
      <c r="G60" s="2"/>
    </row>
    <row r="61" ht="15.75" customHeight="1">
      <c r="A61" s="2"/>
      <c r="B61" s="2"/>
      <c r="C61" s="2"/>
      <c r="D61" s="2"/>
      <c r="E61" s="2"/>
      <c r="F61" s="2"/>
      <c r="G61" s="2"/>
    </row>
    <row r="62" ht="15.75" customHeight="1">
      <c r="A62" s="2"/>
      <c r="B62" s="2"/>
      <c r="C62" s="2"/>
      <c r="D62" s="2"/>
      <c r="E62" s="2"/>
      <c r="F62" s="2"/>
      <c r="G62" s="2"/>
    </row>
    <row r="63" ht="15.75" customHeight="1">
      <c r="A63" s="2"/>
      <c r="B63" s="2"/>
      <c r="C63" s="2"/>
      <c r="D63" s="2"/>
      <c r="E63" s="2"/>
      <c r="F63" s="2"/>
      <c r="G63" s="2"/>
    </row>
    <row r="64" ht="15.75" customHeight="1">
      <c r="A64" s="2"/>
      <c r="B64" s="2"/>
      <c r="C64" s="2"/>
      <c r="D64" s="2"/>
      <c r="E64" s="2"/>
      <c r="F64" s="2"/>
      <c r="G64" s="2"/>
    </row>
    <row r="65" ht="15.75" customHeight="1">
      <c r="A65" s="2"/>
      <c r="B65" s="2"/>
      <c r="C65" s="2"/>
      <c r="D65" s="2"/>
      <c r="E65" s="2"/>
      <c r="F65" s="2"/>
      <c r="G65" s="2"/>
    </row>
    <row r="66" ht="15.75" customHeight="1">
      <c r="A66" s="2"/>
      <c r="B66" s="2"/>
      <c r="C66" s="2"/>
      <c r="D66" s="2"/>
      <c r="E66" s="2"/>
      <c r="F66" s="2"/>
      <c r="G66" s="2"/>
    </row>
    <row r="67" ht="15.75" customHeight="1">
      <c r="A67" s="2"/>
      <c r="B67" s="2"/>
      <c r="C67" s="2"/>
      <c r="D67" s="2"/>
      <c r="E67" s="2"/>
      <c r="F67" s="2"/>
      <c r="G67" s="2"/>
    </row>
    <row r="68" ht="15.75" customHeight="1">
      <c r="A68" s="2"/>
      <c r="B68" s="2"/>
      <c r="C68" s="2"/>
      <c r="D68" s="2"/>
      <c r="E68" s="2"/>
      <c r="F68" s="2"/>
      <c r="G68" s="2"/>
    </row>
    <row r="69" ht="15.75" customHeight="1">
      <c r="A69" s="2"/>
      <c r="B69" s="2"/>
      <c r="C69" s="2"/>
      <c r="D69" s="2"/>
      <c r="E69" s="2"/>
      <c r="F69" s="2"/>
      <c r="G69" s="2"/>
    </row>
    <row r="70" ht="15.75" customHeight="1">
      <c r="A70" s="2"/>
      <c r="B70" s="2"/>
      <c r="C70" s="2"/>
      <c r="D70" s="2"/>
      <c r="E70" s="2"/>
      <c r="F70" s="2"/>
      <c r="G70" s="2"/>
    </row>
    <row r="71" ht="15.75" customHeight="1">
      <c r="A71" s="2"/>
      <c r="B71" s="2"/>
      <c r="C71" s="2"/>
      <c r="D71" s="2"/>
      <c r="E71" s="2"/>
      <c r="F71" s="2"/>
      <c r="G71" s="2"/>
    </row>
    <row r="72" ht="15.75" customHeight="1">
      <c r="A72" s="2"/>
      <c r="B72" s="2"/>
      <c r="C72" s="2"/>
      <c r="D72" s="2"/>
      <c r="E72" s="2"/>
      <c r="F72" s="2"/>
      <c r="G72" s="2"/>
    </row>
    <row r="73" ht="15.75" customHeight="1">
      <c r="A73" s="2"/>
      <c r="B73" s="2"/>
      <c r="C73" s="2"/>
      <c r="D73" s="2"/>
      <c r="E73" s="2"/>
      <c r="F73" s="2"/>
      <c r="G73" s="2"/>
    </row>
    <row r="74" ht="15.75" customHeight="1">
      <c r="A74" s="2"/>
      <c r="B74" s="2"/>
      <c r="C74" s="2"/>
      <c r="D74" s="2"/>
      <c r="E74" s="2"/>
      <c r="F74" s="2"/>
      <c r="G74" s="2"/>
    </row>
    <row r="75" ht="15.75" customHeight="1">
      <c r="A75" s="2"/>
      <c r="B75" s="2"/>
      <c r="C75" s="2"/>
      <c r="D75" s="2"/>
      <c r="E75" s="2"/>
      <c r="F75" s="2"/>
      <c r="G75" s="2"/>
    </row>
    <row r="76" ht="15.75" customHeight="1">
      <c r="A76" s="2"/>
      <c r="B76" s="2"/>
      <c r="C76" s="2"/>
      <c r="D76" s="2"/>
      <c r="E76" s="2"/>
      <c r="F76" s="2"/>
      <c r="G76" s="2"/>
    </row>
    <row r="77" ht="15.75" customHeight="1">
      <c r="A77" s="2"/>
      <c r="B77" s="2"/>
      <c r="C77" s="2"/>
      <c r="D77" s="2"/>
      <c r="E77" s="2"/>
      <c r="F77" s="2"/>
      <c r="G77" s="2"/>
    </row>
    <row r="78" ht="15.75" customHeight="1">
      <c r="A78" s="2"/>
      <c r="B78" s="2"/>
      <c r="C78" s="2"/>
      <c r="D78" s="2"/>
      <c r="E78" s="2"/>
      <c r="F78" s="2"/>
      <c r="G78" s="2"/>
    </row>
    <row r="79" ht="15.75" customHeight="1">
      <c r="A79" s="2"/>
      <c r="B79" s="2"/>
      <c r="C79" s="2"/>
      <c r="D79" s="2"/>
      <c r="E79" s="2"/>
      <c r="F79" s="2"/>
      <c r="G79" s="2"/>
    </row>
    <row r="80" ht="15.75" customHeight="1">
      <c r="A80" s="2"/>
      <c r="B80" s="2"/>
      <c r="C80" s="2"/>
      <c r="D80" s="2"/>
      <c r="E80" s="2"/>
      <c r="F80" s="2"/>
      <c r="G80" s="2"/>
    </row>
    <row r="81" ht="15.75" customHeight="1">
      <c r="A81" s="2"/>
      <c r="B81" s="2"/>
      <c r="C81" s="2"/>
      <c r="D81" s="2"/>
      <c r="E81" s="2"/>
      <c r="F81" s="2"/>
      <c r="G81" s="2"/>
    </row>
    <row r="82" ht="15.75" customHeight="1">
      <c r="A82" s="2"/>
      <c r="B82" s="2"/>
      <c r="C82" s="2"/>
      <c r="D82" s="2"/>
      <c r="E82" s="2"/>
      <c r="F82" s="2"/>
      <c r="G82" s="2"/>
    </row>
    <row r="83" ht="15.75" customHeight="1">
      <c r="A83" s="2"/>
      <c r="B83" s="2"/>
      <c r="C83" s="2"/>
      <c r="D83" s="2"/>
      <c r="E83" s="2"/>
      <c r="F83" s="2"/>
      <c r="G83" s="2"/>
    </row>
    <row r="84" ht="15.75" customHeight="1">
      <c r="A84" s="2"/>
      <c r="B84" s="2"/>
      <c r="C84" s="2"/>
      <c r="D84" s="2"/>
      <c r="E84" s="2"/>
      <c r="F84" s="2"/>
      <c r="G84" s="2"/>
    </row>
    <row r="85" ht="15.75" customHeight="1">
      <c r="A85" s="2"/>
      <c r="B85" s="2"/>
      <c r="C85" s="2"/>
      <c r="D85" s="2"/>
      <c r="E85" s="2"/>
      <c r="F85" s="2"/>
      <c r="G85" s="2"/>
    </row>
    <row r="86" ht="15.75" customHeight="1">
      <c r="A86" s="2"/>
      <c r="B86" s="2"/>
      <c r="C86" s="2"/>
      <c r="D86" s="2"/>
      <c r="E86" s="2"/>
      <c r="F86" s="2"/>
      <c r="G86" s="2"/>
    </row>
    <row r="87" ht="15.75" customHeight="1">
      <c r="A87" s="2"/>
      <c r="B87" s="2"/>
      <c r="C87" s="2"/>
      <c r="D87" s="2"/>
      <c r="E87" s="2"/>
      <c r="F87" s="2"/>
      <c r="G87" s="2"/>
    </row>
    <row r="88" ht="15.75" customHeight="1">
      <c r="A88" s="2"/>
      <c r="B88" s="2"/>
      <c r="C88" s="2"/>
      <c r="D88" s="2"/>
      <c r="E88" s="2"/>
      <c r="F88" s="2"/>
      <c r="G88" s="2"/>
    </row>
    <row r="89" ht="15.75" customHeight="1">
      <c r="A89" s="2"/>
      <c r="B89" s="2"/>
      <c r="C89" s="2"/>
      <c r="D89" s="2"/>
      <c r="E89" s="2"/>
      <c r="F89" s="2"/>
      <c r="G89" s="2"/>
    </row>
    <row r="90" ht="15.75" customHeight="1">
      <c r="A90" s="2"/>
      <c r="B90" s="2"/>
      <c r="C90" s="2"/>
      <c r="D90" s="2"/>
      <c r="E90" s="2"/>
      <c r="F90" s="2"/>
      <c r="G90" s="2"/>
    </row>
    <row r="91" ht="15.75" customHeight="1">
      <c r="A91" s="2"/>
      <c r="B91" s="2"/>
      <c r="C91" s="2"/>
      <c r="D91" s="2"/>
      <c r="E91" s="2"/>
      <c r="F91" s="2"/>
      <c r="G91" s="2"/>
    </row>
    <row r="92" ht="15.75" customHeight="1">
      <c r="A92" s="2"/>
      <c r="B92" s="2"/>
      <c r="C92" s="2"/>
      <c r="D92" s="2"/>
      <c r="E92" s="2"/>
      <c r="F92" s="2"/>
      <c r="G92" s="2"/>
    </row>
    <row r="93" ht="15.75" customHeight="1">
      <c r="A93" s="2"/>
      <c r="B93" s="2"/>
      <c r="C93" s="2"/>
      <c r="D93" s="2"/>
      <c r="E93" s="2"/>
      <c r="F93" s="2"/>
      <c r="G93" s="2"/>
    </row>
    <row r="94" ht="15.75" customHeight="1">
      <c r="A94" s="2"/>
      <c r="B94" s="2"/>
      <c r="C94" s="2"/>
      <c r="D94" s="2"/>
      <c r="E94" s="2"/>
      <c r="F94" s="2"/>
      <c r="G94" s="2"/>
    </row>
    <row r="95" ht="15.75" customHeight="1">
      <c r="A95" s="2"/>
      <c r="B95" s="2"/>
      <c r="C95" s="2"/>
      <c r="D95" s="2"/>
      <c r="E95" s="2"/>
      <c r="F95" s="2"/>
      <c r="G95" s="2"/>
    </row>
    <row r="96" ht="15.75" customHeight="1">
      <c r="A96" s="2"/>
      <c r="B96" s="2"/>
      <c r="C96" s="2"/>
      <c r="D96" s="2"/>
      <c r="E96" s="2"/>
      <c r="F96" s="2"/>
      <c r="G96" s="2"/>
    </row>
    <row r="97" ht="15.75" customHeight="1">
      <c r="A97" s="2"/>
      <c r="B97" s="2"/>
      <c r="C97" s="2"/>
      <c r="D97" s="2"/>
      <c r="E97" s="2"/>
      <c r="F97" s="2"/>
      <c r="G97" s="2"/>
    </row>
    <row r="98" ht="15.75" customHeight="1">
      <c r="A98" s="2"/>
      <c r="B98" s="2"/>
      <c r="C98" s="2"/>
      <c r="D98" s="2"/>
      <c r="E98" s="2"/>
      <c r="F98" s="2"/>
      <c r="G98" s="2"/>
    </row>
    <row r="99" ht="15.75" customHeight="1">
      <c r="A99" s="2"/>
      <c r="B99" s="2"/>
      <c r="C99" s="2"/>
      <c r="D99" s="2"/>
      <c r="E99" s="2"/>
      <c r="F99" s="2"/>
      <c r="G99" s="2"/>
    </row>
    <row r="100" ht="15.75" customHeight="1">
      <c r="A100" s="2"/>
      <c r="B100" s="2"/>
      <c r="C100" s="2"/>
      <c r="D100" s="2"/>
      <c r="E100" s="2"/>
      <c r="F100" s="2"/>
      <c r="G100" s="2"/>
    </row>
  </sheetData>
  <mergeCells count="3">
    <mergeCell ref="A1:G1"/>
    <mergeCell ref="A2:G2"/>
    <mergeCell ref="A3:G3"/>
  </mergeCells>
  <printOptions/>
  <pageMargins bottom="1.0" footer="0.0" header="0.0" left="0.75" right="0.75" top="1.0"/>
  <pageSetup paperSize="9"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2026-06-20T07:26:21Z</dcterms:created>
  <dc:creator>openpyxl</dc:creator>
  <dc:description/>
  <dc:language>en-US</dc:language>
  <cp:lastModifiedBy>Yvan Lenoir</cp:lastModifiedBy>
  <dcterms:modified xsi:type="dcterms:W3CDTF">2026-06-23T05:07:38Z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